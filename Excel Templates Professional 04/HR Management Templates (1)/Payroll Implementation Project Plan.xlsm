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tsy - GlobalPMHub\Templates\WIP\HR Management\HR Management Templates\"/>
    </mc:Choice>
  </mc:AlternateContent>
  <xr:revisionPtr revIDLastSave="0" documentId="13_ncr:1_{14B98210-7D5F-4ED8-A8AB-CF6B1AAB92C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Overview" sheetId="2" r:id="rId1"/>
    <sheet name="Task Planner" sheetId="4" r:id="rId2"/>
    <sheet name="Project Plan Hierarchy" sheetId="3" r:id="rId3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0" i="4" l="1"/>
  <c r="F80" i="4" s="1"/>
  <c r="F84" i="4"/>
  <c r="F83" i="4"/>
  <c r="F82" i="4"/>
  <c r="F81" i="4"/>
  <c r="E76" i="4"/>
  <c r="F79" i="4"/>
  <c r="F78" i="4"/>
  <c r="F77" i="4"/>
  <c r="F76" i="4"/>
  <c r="F75" i="4"/>
  <c r="E68" i="4"/>
  <c r="F68" i="4" s="1"/>
  <c r="F74" i="4"/>
  <c r="F73" i="4"/>
  <c r="F72" i="4"/>
  <c r="F71" i="4"/>
  <c r="F70" i="4"/>
  <c r="F69" i="4"/>
  <c r="E63" i="4"/>
  <c r="F63" i="4" s="1"/>
  <c r="F67" i="4"/>
  <c r="F66" i="4"/>
  <c r="F65" i="4"/>
  <c r="F64" i="4"/>
  <c r="E56" i="4"/>
  <c r="F62" i="4"/>
  <c r="F61" i="4"/>
  <c r="F60" i="4"/>
  <c r="F59" i="4"/>
  <c r="F58" i="4"/>
  <c r="F57" i="4"/>
  <c r="F56" i="4"/>
  <c r="E51" i="4"/>
  <c r="F51" i="4" s="1"/>
  <c r="F55" i="4"/>
  <c r="F54" i="4"/>
  <c r="F53" i="4"/>
  <c r="F52" i="4"/>
  <c r="E43" i="4"/>
  <c r="F50" i="4"/>
  <c r="F49" i="4"/>
  <c r="F48" i="4"/>
  <c r="F47" i="4"/>
  <c r="F46" i="4"/>
  <c r="F45" i="4"/>
  <c r="F44" i="4"/>
  <c r="F43" i="4"/>
  <c r="F42" i="4"/>
  <c r="E38" i="4"/>
  <c r="F38" i="4" s="1"/>
  <c r="F41" i="4"/>
  <c r="F40" i="4"/>
  <c r="F39" i="4"/>
  <c r="E36" i="4"/>
  <c r="F36" i="4" s="1"/>
  <c r="F37" i="4"/>
  <c r="E32" i="4"/>
  <c r="F32" i="4" s="1"/>
  <c r="F35" i="4"/>
  <c r="F34" i="4"/>
  <c r="F33" i="4"/>
  <c r="E22" i="4"/>
  <c r="F22" i="4" s="1"/>
  <c r="F31" i="4"/>
  <c r="F30" i="4"/>
  <c r="F29" i="4"/>
  <c r="F28" i="4"/>
  <c r="F27" i="4"/>
  <c r="F26" i="4"/>
  <c r="F25" i="4"/>
  <c r="F24" i="4"/>
  <c r="F23" i="4"/>
  <c r="E17" i="4"/>
  <c r="F17" i="4" s="1"/>
  <c r="F21" i="4"/>
  <c r="F20" i="4"/>
  <c r="F19" i="4"/>
  <c r="F18" i="4"/>
  <c r="E12" i="4"/>
  <c r="F12" i="4" s="1"/>
  <c r="F16" i="4"/>
  <c r="F15" i="4"/>
  <c r="F14" i="4"/>
  <c r="F13" i="4"/>
  <c r="E3" i="4"/>
  <c r="F11" i="4"/>
  <c r="F10" i="4"/>
  <c r="F9" i="4"/>
  <c r="F8" i="4"/>
  <c r="F7" i="4"/>
  <c r="F6" i="4"/>
  <c r="F5" i="4"/>
  <c r="F4" i="4"/>
  <c r="F3" i="4"/>
  <c r="E85" i="4" l="1"/>
  <c r="F85" i="4" s="1"/>
  <c r="B15" i="2"/>
  <c r="B17" i="2" l="1"/>
  <c r="B16" i="2" s="1"/>
</calcChain>
</file>

<file path=xl/sharedStrings.xml><?xml version="1.0" encoding="utf-8"?>
<sst xmlns="http://schemas.openxmlformats.org/spreadsheetml/2006/main" count="100" uniqueCount="69">
  <si>
    <t>Task</t>
  </si>
  <si>
    <t>Project Lead</t>
  </si>
  <si>
    <t>John Smith</t>
  </si>
  <si>
    <t>Project Start Date</t>
  </si>
  <si>
    <t>Projected "Go-Live" Date</t>
  </si>
  <si>
    <t>Days Remaining</t>
  </si>
  <si>
    <t>Initial Planning</t>
  </si>
  <si>
    <t>Task Planner</t>
  </si>
  <si>
    <t>Current Processes</t>
  </si>
  <si>
    <t>Areas of Non-Compliance</t>
  </si>
  <si>
    <t>Error Rate</t>
  </si>
  <si>
    <t>Double Handling</t>
  </si>
  <si>
    <t>Administrative Costs</t>
  </si>
  <si>
    <t>Staff Feedback</t>
  </si>
  <si>
    <t>Reference Number</t>
  </si>
  <si>
    <t>Total Project Days</t>
  </si>
  <si>
    <t>Market Research - Outsourcing</t>
  </si>
  <si>
    <t>Gather Options</t>
  </si>
  <si>
    <t>Prior/Current Customer Feedback</t>
  </si>
  <si>
    <t>Budget Determinations</t>
  </si>
  <si>
    <t>Scheduled Start Date</t>
  </si>
  <si>
    <t>Scheduled Completion Date</t>
  </si>
  <si>
    <t>Task Contact</t>
  </si>
  <si>
    <t>Gather Proposals</t>
  </si>
  <si>
    <t>Compare Options</t>
  </si>
  <si>
    <t>Market Research - Internal</t>
  </si>
  <si>
    <t>Minimum Requirements</t>
  </si>
  <si>
    <t>Re-evaluation</t>
  </si>
  <si>
    <t>Product Presentations</t>
  </si>
  <si>
    <t>Milestone - Decision (Internal Vs. Outsourcing)</t>
  </si>
  <si>
    <t>Proof of Concept</t>
  </si>
  <si>
    <t>Compile First Round of Options</t>
  </si>
  <si>
    <t>Contact Vendors and Schedule Presentations</t>
  </si>
  <si>
    <t>Compile Second Round of Options</t>
  </si>
  <si>
    <t>Evaluation of Proof of Concept</t>
  </si>
  <si>
    <t>Evaluation of Presentations</t>
  </si>
  <si>
    <t>Address Concerns with Vendors</t>
  </si>
  <si>
    <t>Milestone - Decision (Solution Choice)</t>
  </si>
  <si>
    <t>Preparation</t>
  </si>
  <si>
    <t>Gather/Create Training Documentation</t>
  </si>
  <si>
    <t>Develop Test Scripts</t>
  </si>
  <si>
    <t>Create Upload Scripts for Current Data</t>
  </si>
  <si>
    <t>Create Data Extraction Scripts for Current Data</t>
  </si>
  <si>
    <t>Training Sessions</t>
  </si>
  <si>
    <t>Implementation - Round 1</t>
  </si>
  <si>
    <t>Upload Data into DEV Environment</t>
  </si>
  <si>
    <t>Complete Test Scripts</t>
  </si>
  <si>
    <t>Evaluate Results</t>
  </si>
  <si>
    <t xml:space="preserve">Bug Fixes </t>
  </si>
  <si>
    <t>Document Issues</t>
  </si>
  <si>
    <t>Communicate Issues to Vendor</t>
  </si>
  <si>
    <t>Implement Fixes (Dev)</t>
  </si>
  <si>
    <t>Implementation - Round 2</t>
  </si>
  <si>
    <t>Upload Data into TEST Environment</t>
  </si>
  <si>
    <t>Create Testing Environments (Minimum of 2 [DEV &amp; TEST])</t>
  </si>
  <si>
    <t>Milestone - Decision (Prod Implementation)</t>
  </si>
  <si>
    <t>Extract Current Data</t>
  </si>
  <si>
    <t>Create Production Environment</t>
  </si>
  <si>
    <t>Upload Current Data into Production</t>
  </si>
  <si>
    <t>Functional Testing</t>
  </si>
  <si>
    <t>Create Functional Test Scripts</t>
  </si>
  <si>
    <t>Go Live</t>
  </si>
  <si>
    <t>End of Project</t>
  </si>
  <si>
    <t>Parallel Run</t>
  </si>
  <si>
    <t>Percentage Complete</t>
  </si>
  <si>
    <t>Days Used</t>
  </si>
  <si>
    <t>Overdue</t>
  </si>
  <si>
    <t>SnapShot View</t>
  </si>
  <si>
    <t>PROJECT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</si>
</sst>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0" xfId="0" applyFill="1"/>
    <xf numFmtId="0" fontId="4" fillId="0" borderId="0" xfId="0" applyFont="1"/>
    <xf numFmtId="10" fontId="0" fillId="0" borderId="0" xfId="0" applyNumberFormat="1"/>
    <xf numFmtId="10" fontId="1" fillId="0" borderId="0" xfId="0" applyNumberFormat="1" applyFont="1"/>
    <xf numFmtId="0" fontId="3" fillId="0" borderId="0" xfId="0" applyFont="1"/>
    <xf numFmtId="0" fontId="5" fillId="3" borderId="1" xfId="0" applyFont="1" applyFill="1" applyBorder="1" applyAlignment="1">
      <alignment horizontal="center"/>
    </xf>
    <xf numFmtId="0" fontId="7" fillId="0" borderId="0" xfId="0" applyFont="1" applyAlignment="1">
      <alignment horizontal="center" vertical="center" wrapText="1"/>
    </xf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Days Used Vs. Days Remaining</a:t>
            </a:r>
          </a:p>
        </c:rich>
      </c:tx>
      <c:overlay val="0"/>
    </c:title>
    <c:autoTitleDeleted val="0"/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Overview!$A$16:$A$17</c:f>
              <c:strCache>
                <c:ptCount val="2"/>
                <c:pt idx="0">
                  <c:v>Days Used</c:v>
                </c:pt>
                <c:pt idx="1">
                  <c:v>Days Remaining</c:v>
                </c:pt>
              </c:strCache>
            </c:strRef>
          </c:cat>
          <c:val>
            <c:numRef>
              <c:f>Overview!$B$16:$B$17</c:f>
              <c:numCache>
                <c:formatCode>General</c:formatCode>
                <c:ptCount val="2"/>
                <c:pt idx="0">
                  <c:v>2767</c:v>
                </c:pt>
                <c:pt idx="1">
                  <c:v>-1856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44-45C7-B70C-146805128C7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solidFill>
      <a:schemeClr val="accent6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Initial Planning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'Task Planner'!$B$3:$B$11</c:f>
              <c:strCache>
                <c:ptCount val="9"/>
                <c:pt idx="0">
                  <c:v>Initial Planning</c:v>
                </c:pt>
                <c:pt idx="1">
                  <c:v>Current Processes</c:v>
                </c:pt>
                <c:pt idx="2">
                  <c:v>Areas of Non-Compliance</c:v>
                </c:pt>
                <c:pt idx="3">
                  <c:v>Error Rate</c:v>
                </c:pt>
                <c:pt idx="4">
                  <c:v>Double Handling</c:v>
                </c:pt>
                <c:pt idx="5">
                  <c:v>Administrative Costs</c:v>
                </c:pt>
                <c:pt idx="6">
                  <c:v>Staff Feedback</c:v>
                </c:pt>
                <c:pt idx="7">
                  <c:v>Budget Determinations</c:v>
                </c:pt>
                <c:pt idx="8">
                  <c:v>Minimum Requirements</c:v>
                </c:pt>
              </c:strCache>
            </c:strRef>
          </c:cat>
          <c:val>
            <c:numRef>
              <c:f>'Task Planner'!$E$3:$E$11</c:f>
              <c:numCache>
                <c:formatCode>0.00%</c:formatCode>
                <c:ptCount val="9"/>
                <c:pt idx="0">
                  <c:v>0.4375</c:v>
                </c:pt>
                <c:pt idx="1">
                  <c:v>0.5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7-43A5-96D2-569CF1097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6217200"/>
        <c:axId val="326217592"/>
        <c:axId val="0"/>
      </c:bar3DChart>
      <c:catAx>
        <c:axId val="32621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17592"/>
        <c:crosses val="autoZero"/>
        <c:auto val="1"/>
        <c:lblAlgn val="ctr"/>
        <c:lblOffset val="100"/>
        <c:noMultiLvlLbl val="0"/>
      </c:catAx>
      <c:valAx>
        <c:axId val="32621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1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3">
  <dgm:title val=""/>
  <dgm:desc val=""/>
  <dgm:catLst>
    <dgm:cat type="mainScheme" pri="10300"/>
  </dgm:catLst>
  <dgm:styleLbl name="node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lignNode1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ln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vennNode1">
    <dgm:fillClrLst meth="repeat">
      <a:schemeClr val="dk2">
        <a:alpha val="50000"/>
      </a:schemeClr>
    </dgm:fillClrLst>
    <dgm:linClrLst meth="repeat">
      <a:schemeClr val="lt2"/>
    </dgm:linClrLst>
    <dgm:effectClrLst/>
    <dgm:txLinClrLst/>
    <dgm:txFillClrLst/>
    <dgm:txEffectClrLst/>
  </dgm:styleLbl>
  <dgm:styleLbl name="node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fgImgPlace1">
    <dgm:fillClrLst meth="repeat">
      <a:schemeClr val="dk2">
        <a:tint val="50000"/>
      </a:schemeClr>
    </dgm:fillClrLst>
    <dgm:linClrLst meth="repeat">
      <a:schemeClr val="lt2"/>
    </dgm:linClrLst>
    <dgm:effectClrLst/>
    <dgm:txLinClrLst/>
    <dgm:txFillClrLst meth="repeat">
      <a:schemeClr val="lt2"/>
    </dgm:txFillClrLst>
    <dgm:txEffectClrLst/>
  </dgm:styleLbl>
  <dgm:styleLbl name="align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bg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callout">
    <dgm:fillClrLst meth="repeat">
      <a:schemeClr val="dk2"/>
    </dgm:fillClrLst>
    <dgm:linClrLst meth="repeat">
      <a:schemeClr val="dk2">
        <a:tint val="50000"/>
      </a:schemeClr>
    </dgm:linClrLst>
    <dgm:effectClrLst/>
    <dgm:txLinClrLst/>
    <dgm:txFillClrLst meth="repeat">
      <a:schemeClr val="lt2"/>
    </dgm:txFillClrLst>
    <dgm:txEffectClrLst/>
  </dgm:styleLbl>
  <dgm:styleLbl name="asst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parCh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lt2"/>
    </dgm:txFillClrLst>
    <dgm:txEffectClrLst/>
  </dgm:styleLbl>
  <dgm:styleLbl name="parChTrans2D2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3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4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1D1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2">
        <a:alpha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2">
        <a:tint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2">
        <a:shade val="8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2">
        <a:tint val="50000"/>
        <a:alpha val="4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2">
        <a:tint val="60000"/>
      </a:schemeClr>
    </dgm:fillClrLst>
    <dgm:linClrLst meth="repeat">
      <a:schemeClr val="lt2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2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9787DD9A-D5DE-4DD1-BB8A-D729799DFE55}" type="doc">
      <dgm:prSet loTypeId="urn:microsoft.com/office/officeart/2008/layout/NameandTitleOrganizationalChart" loCatId="hierarchy" qsTypeId="urn:microsoft.com/office/officeart/2005/8/quickstyle/simple1" qsCatId="simple" csTypeId="urn:microsoft.com/office/officeart/2005/8/colors/accent0_3" csCatId="mainScheme" phldr="1"/>
      <dgm:spPr/>
      <dgm:t>
        <a:bodyPr/>
        <a:lstStyle/>
        <a:p>
          <a:endParaRPr lang="en-AU"/>
        </a:p>
      </dgm:t>
    </dgm:pt>
    <dgm:pt modelId="{7833E24E-02FA-4DAA-BD17-04C3AF12B794}">
      <dgm:prSet phldrT="[Text]" custT="1"/>
      <dgm:spPr/>
      <dgm:t>
        <a:bodyPr anchor="ctr" anchorCtr="0"/>
        <a:lstStyle/>
        <a:p>
          <a:r>
            <a:rPr lang="en-AU" sz="2800"/>
            <a:t>Project Lead</a:t>
          </a:r>
        </a:p>
      </dgm:t>
    </dgm:pt>
    <dgm:pt modelId="{ACE805A3-C429-43AA-8230-F2E5BA41735F}" type="parTrans" cxnId="{7F4878CF-2072-4A3A-B5F6-FABEE11BAF58}">
      <dgm:prSet/>
      <dgm:spPr/>
      <dgm:t>
        <a:bodyPr/>
        <a:lstStyle/>
        <a:p>
          <a:endParaRPr lang="en-AU"/>
        </a:p>
      </dgm:t>
    </dgm:pt>
    <dgm:pt modelId="{7931890B-4994-4D87-9A04-60AE525C6447}" type="sibTrans" cxnId="{7F4878CF-2072-4A3A-B5F6-FABEE11BAF58}">
      <dgm:prSet custT="1"/>
      <dgm:spPr/>
      <dgm:t>
        <a:bodyPr/>
        <a:lstStyle/>
        <a:p>
          <a:r>
            <a:rPr lang="en-AU" sz="1500" baseline="0"/>
            <a:t>Clark Kent</a:t>
          </a:r>
        </a:p>
      </dgm:t>
    </dgm:pt>
    <dgm:pt modelId="{8C20155B-9B51-492A-9DA9-621B3E6D96D9}" type="asst">
      <dgm:prSet phldrT="[Text]"/>
      <dgm:spPr/>
      <dgm:t>
        <a:bodyPr/>
        <a:lstStyle/>
        <a:p>
          <a:r>
            <a:rPr lang="en-AU"/>
            <a:t>Finance Manager</a:t>
          </a:r>
        </a:p>
      </dgm:t>
    </dgm:pt>
    <dgm:pt modelId="{F30E1C3F-8D35-4059-8327-76FE9FA20651}" type="parTrans" cxnId="{6C6C7E52-A123-4F4F-8783-C199E31B4B47}">
      <dgm:prSet/>
      <dgm:spPr/>
      <dgm:t>
        <a:bodyPr/>
        <a:lstStyle/>
        <a:p>
          <a:endParaRPr lang="en-AU"/>
        </a:p>
      </dgm:t>
    </dgm:pt>
    <dgm:pt modelId="{B5AAB558-864A-4148-A343-2DDADABD0C7F}" type="sibTrans" cxnId="{6C6C7E52-A123-4F4F-8783-C199E31B4B47}">
      <dgm:prSet custT="1"/>
      <dgm:spPr/>
      <dgm:t>
        <a:bodyPr/>
        <a:lstStyle/>
        <a:p>
          <a:r>
            <a:rPr lang="en-AU" sz="1500" baseline="0"/>
            <a:t>Lex Luther</a:t>
          </a:r>
        </a:p>
      </dgm:t>
    </dgm:pt>
    <dgm:pt modelId="{38B6637B-7FCC-479A-B90F-F0FD7D163A79}" type="asst">
      <dgm:prSet/>
      <dgm:spPr/>
      <dgm:t>
        <a:bodyPr/>
        <a:lstStyle/>
        <a:p>
          <a:r>
            <a:rPr lang="en-AU"/>
            <a:t>IT Manager</a:t>
          </a:r>
        </a:p>
      </dgm:t>
    </dgm:pt>
    <dgm:pt modelId="{30E5AADD-978C-47D3-838A-EE0AE9E58869}" type="parTrans" cxnId="{AECD66D4-8F21-4224-BB41-8DFBCCC89529}">
      <dgm:prSet/>
      <dgm:spPr/>
      <dgm:t>
        <a:bodyPr/>
        <a:lstStyle/>
        <a:p>
          <a:endParaRPr lang="en-AU"/>
        </a:p>
      </dgm:t>
    </dgm:pt>
    <dgm:pt modelId="{D3DE737D-5455-4453-95F0-E373C0DFEE4E}" type="sibTrans" cxnId="{AECD66D4-8F21-4224-BB41-8DFBCCC89529}">
      <dgm:prSet custT="1"/>
      <dgm:spPr/>
      <dgm:t>
        <a:bodyPr/>
        <a:lstStyle/>
        <a:p>
          <a:r>
            <a:rPr lang="en-AU" sz="1500" baseline="0"/>
            <a:t>Lois Lane</a:t>
          </a:r>
        </a:p>
      </dgm:t>
    </dgm:pt>
    <dgm:pt modelId="{B010B8D4-C888-4DA9-981C-1A745EBFC445}">
      <dgm:prSet/>
      <dgm:spPr/>
      <dgm:t>
        <a:bodyPr/>
        <a:lstStyle/>
        <a:p>
          <a:r>
            <a:rPr lang="en-AU"/>
            <a:t>Accountant</a:t>
          </a:r>
        </a:p>
      </dgm:t>
    </dgm:pt>
    <dgm:pt modelId="{41FBC6E8-4A91-4701-B2C5-128D77C19728}" type="parTrans" cxnId="{2730B9D8-04E4-4920-8842-67497549B858}">
      <dgm:prSet/>
      <dgm:spPr/>
      <dgm:t>
        <a:bodyPr/>
        <a:lstStyle/>
        <a:p>
          <a:endParaRPr lang="en-AU"/>
        </a:p>
      </dgm:t>
    </dgm:pt>
    <dgm:pt modelId="{82664FCB-BE75-40EE-A0F5-3C09C190E575}" type="sibTrans" cxnId="{2730B9D8-04E4-4920-8842-67497549B858}">
      <dgm:prSet custT="1"/>
      <dgm:spPr/>
      <dgm:t>
        <a:bodyPr/>
        <a:lstStyle/>
        <a:p>
          <a:r>
            <a:rPr lang="en-AU" sz="1500" baseline="0"/>
            <a:t>John Rambo</a:t>
          </a:r>
        </a:p>
      </dgm:t>
    </dgm:pt>
    <dgm:pt modelId="{AA693B59-B72B-4197-9415-5C2BAD9CDA97}">
      <dgm:prSet/>
      <dgm:spPr/>
      <dgm:t>
        <a:bodyPr/>
        <a:lstStyle/>
        <a:p>
          <a:r>
            <a:rPr lang="en-AU"/>
            <a:t>Systems Developer</a:t>
          </a:r>
        </a:p>
      </dgm:t>
    </dgm:pt>
    <dgm:pt modelId="{EDCB7063-1E31-423C-BBBD-FDBE890BD6A6}" type="parTrans" cxnId="{B08B48D7-1C64-41E6-9421-5F7CC5ED5A8A}">
      <dgm:prSet/>
      <dgm:spPr/>
      <dgm:t>
        <a:bodyPr/>
        <a:lstStyle/>
        <a:p>
          <a:endParaRPr lang="en-AU"/>
        </a:p>
      </dgm:t>
    </dgm:pt>
    <dgm:pt modelId="{3110C52F-6CA2-4F24-8336-C743681348E4}" type="sibTrans" cxnId="{B08B48D7-1C64-41E6-9421-5F7CC5ED5A8A}">
      <dgm:prSet custT="1"/>
      <dgm:spPr/>
      <dgm:t>
        <a:bodyPr/>
        <a:lstStyle/>
        <a:p>
          <a:r>
            <a:rPr lang="en-AU" sz="1500" baseline="0"/>
            <a:t>John McClane</a:t>
          </a:r>
        </a:p>
      </dgm:t>
    </dgm:pt>
    <dgm:pt modelId="{F7B95EA7-BA23-4BFC-AB31-774DF22F3643}">
      <dgm:prSet/>
      <dgm:spPr/>
      <dgm:t>
        <a:bodyPr/>
        <a:lstStyle/>
        <a:p>
          <a:r>
            <a:rPr lang="en-AU"/>
            <a:t>Infrastructure Manager</a:t>
          </a:r>
        </a:p>
      </dgm:t>
    </dgm:pt>
    <dgm:pt modelId="{03141347-B6A6-4549-8143-685B8B40DFE8}" type="parTrans" cxnId="{9BFDB708-643A-4ABB-98E4-892EA9173A70}">
      <dgm:prSet/>
      <dgm:spPr/>
      <dgm:t>
        <a:bodyPr/>
        <a:lstStyle/>
        <a:p>
          <a:endParaRPr lang="en-AU"/>
        </a:p>
      </dgm:t>
    </dgm:pt>
    <dgm:pt modelId="{716198CF-4A2B-4E2B-B233-E5FB6FC0383F}" type="sibTrans" cxnId="{9BFDB708-643A-4ABB-98E4-892EA9173A70}">
      <dgm:prSet custT="1"/>
      <dgm:spPr/>
      <dgm:t>
        <a:bodyPr/>
        <a:lstStyle/>
        <a:p>
          <a:r>
            <a:rPr lang="en-AU" sz="1500"/>
            <a:t>Bruce Wayn</a:t>
          </a:r>
        </a:p>
      </dgm:t>
    </dgm:pt>
    <dgm:pt modelId="{915C3BEE-4490-4388-AA09-19744AEDC1F5}">
      <dgm:prSet/>
      <dgm:spPr/>
      <dgm:t>
        <a:bodyPr/>
        <a:lstStyle/>
        <a:p>
          <a:r>
            <a:rPr lang="en-AU"/>
            <a:t>DBA</a:t>
          </a:r>
        </a:p>
      </dgm:t>
    </dgm:pt>
    <dgm:pt modelId="{160041FE-9EF5-4442-9B0A-E78AF66CE9E5}" type="parTrans" cxnId="{1375334B-BBA6-42EB-BA7D-5C43AA17522A}">
      <dgm:prSet/>
      <dgm:spPr/>
      <dgm:t>
        <a:bodyPr/>
        <a:lstStyle/>
        <a:p>
          <a:endParaRPr lang="en-AU"/>
        </a:p>
      </dgm:t>
    </dgm:pt>
    <dgm:pt modelId="{C1634D3E-8B21-44B5-B149-A53278F5BAD8}" type="sibTrans" cxnId="{1375334B-BBA6-42EB-BA7D-5C43AA17522A}">
      <dgm:prSet custT="1"/>
      <dgm:spPr/>
      <dgm:t>
        <a:bodyPr/>
        <a:lstStyle/>
        <a:p>
          <a:r>
            <a:rPr lang="en-AU" sz="1500" baseline="0"/>
            <a:t>Ethan Hunt</a:t>
          </a:r>
        </a:p>
      </dgm:t>
    </dgm:pt>
    <dgm:pt modelId="{48F8A3FE-8832-40B3-BBC8-7E3EE89B9496}">
      <dgm:prSet/>
      <dgm:spPr/>
      <dgm:t>
        <a:bodyPr/>
        <a:lstStyle/>
        <a:p>
          <a:r>
            <a:rPr lang="en-AU"/>
            <a:t>DBA</a:t>
          </a:r>
        </a:p>
      </dgm:t>
    </dgm:pt>
    <dgm:pt modelId="{8B2C006D-60B4-47A1-9395-C1510FFB8D46}" type="parTrans" cxnId="{1E2512F9-9CEC-42F9-BA5B-0A3F5A284DC7}">
      <dgm:prSet/>
      <dgm:spPr/>
      <dgm:t>
        <a:bodyPr/>
        <a:lstStyle/>
        <a:p>
          <a:endParaRPr lang="en-AU"/>
        </a:p>
      </dgm:t>
    </dgm:pt>
    <dgm:pt modelId="{57E93A29-8D61-4871-A94E-11B81016F56C}" type="sibTrans" cxnId="{1E2512F9-9CEC-42F9-BA5B-0A3F5A284DC7}">
      <dgm:prSet custT="1"/>
      <dgm:spPr/>
      <dgm:t>
        <a:bodyPr/>
        <a:lstStyle/>
        <a:p>
          <a:r>
            <a:rPr lang="en-AU" sz="1500" baseline="0"/>
            <a:t>James Bond</a:t>
          </a:r>
        </a:p>
      </dgm:t>
    </dgm:pt>
    <dgm:pt modelId="{25CD4324-A654-4807-8D3C-7A86626A5B92}">
      <dgm:prSet/>
      <dgm:spPr/>
      <dgm:t>
        <a:bodyPr/>
        <a:lstStyle/>
        <a:p>
          <a:r>
            <a:rPr lang="en-AU"/>
            <a:t>Payroll Officer</a:t>
          </a:r>
        </a:p>
      </dgm:t>
    </dgm:pt>
    <dgm:pt modelId="{2AABC200-2B8C-46CE-9D96-92C7281DAD66}" type="parTrans" cxnId="{CAC09D88-3797-4AB1-B444-AB7E7C00F23B}">
      <dgm:prSet/>
      <dgm:spPr/>
      <dgm:t>
        <a:bodyPr/>
        <a:lstStyle/>
        <a:p>
          <a:endParaRPr lang="en-AU"/>
        </a:p>
      </dgm:t>
    </dgm:pt>
    <dgm:pt modelId="{7CDD80FE-30A5-4165-844F-9129EAE344C6}" type="sibTrans" cxnId="{CAC09D88-3797-4AB1-B444-AB7E7C00F23B}">
      <dgm:prSet custT="1"/>
      <dgm:spPr/>
      <dgm:t>
        <a:bodyPr/>
        <a:lstStyle/>
        <a:p>
          <a:r>
            <a:rPr lang="en-AU" sz="1500" baseline="0"/>
            <a:t>Sarah Connor</a:t>
          </a:r>
        </a:p>
      </dgm:t>
    </dgm:pt>
    <dgm:pt modelId="{4DEC4A75-704F-4A9E-AB45-28334A18FCD1}" type="pres">
      <dgm:prSet presAssocID="{9787DD9A-D5DE-4DD1-BB8A-D729799DFE55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</dgm:pt>
    <dgm:pt modelId="{59C81D5C-1528-412B-AD8E-FFE67B06088C}" type="pres">
      <dgm:prSet presAssocID="{7833E24E-02FA-4DAA-BD17-04C3AF12B794}" presName="hierRoot1" presStyleCnt="0">
        <dgm:presLayoutVars>
          <dgm:hierBranch val="init"/>
        </dgm:presLayoutVars>
      </dgm:prSet>
      <dgm:spPr/>
    </dgm:pt>
    <dgm:pt modelId="{66987F06-B194-4F19-A5F5-37ACFD80A38B}" type="pres">
      <dgm:prSet presAssocID="{7833E24E-02FA-4DAA-BD17-04C3AF12B794}" presName="rootComposite1" presStyleCnt="0"/>
      <dgm:spPr/>
    </dgm:pt>
    <dgm:pt modelId="{4406D4C4-F0A4-4EB8-B5C0-DF69816D26F1}" type="pres">
      <dgm:prSet presAssocID="{7833E24E-02FA-4DAA-BD17-04C3AF12B794}" presName="rootText1" presStyleLbl="node0" presStyleIdx="0" presStyleCnt="1" custScaleX="75132" custScaleY="75132" custLinFactX="-11439" custLinFactNeighborX="-100000" custLinFactNeighborY="-921">
        <dgm:presLayoutVars>
          <dgm:chMax/>
          <dgm:chPref val="3"/>
        </dgm:presLayoutVars>
      </dgm:prSet>
      <dgm:spPr>
        <a:prstGeom prst="flowChartAlternateProcess">
          <a:avLst/>
        </a:prstGeom>
      </dgm:spPr>
    </dgm:pt>
    <dgm:pt modelId="{3C59C864-9B14-4B3B-88B6-D4A7A788528F}" type="pres">
      <dgm:prSet presAssocID="{7833E24E-02FA-4DAA-BD17-04C3AF12B794}" presName="titleText1" presStyleLbl="fgAcc0" presStyleIdx="0" presStyleCnt="1" custScaleX="75132" custScaleY="75132" custLinFactX="-23834" custLinFactNeighborX="-100000" custLinFactNeighborY="-24040">
        <dgm:presLayoutVars>
          <dgm:chMax val="0"/>
          <dgm:chPref val="0"/>
        </dgm:presLayoutVars>
      </dgm:prSet>
      <dgm:spPr/>
    </dgm:pt>
    <dgm:pt modelId="{5ED3AC68-A92D-450C-98C3-C7D183035CDC}" type="pres">
      <dgm:prSet presAssocID="{7833E24E-02FA-4DAA-BD17-04C3AF12B794}" presName="rootConnector1" presStyleLbl="node1" presStyleIdx="0" presStyleCnt="6"/>
      <dgm:spPr/>
    </dgm:pt>
    <dgm:pt modelId="{6E1880D6-21A0-4534-9BB0-4C7FA81F5AC0}" type="pres">
      <dgm:prSet presAssocID="{7833E24E-02FA-4DAA-BD17-04C3AF12B794}" presName="hierChild2" presStyleCnt="0"/>
      <dgm:spPr/>
    </dgm:pt>
    <dgm:pt modelId="{7677C300-CB96-482C-97B1-F35636375632}" type="pres">
      <dgm:prSet presAssocID="{7833E24E-02FA-4DAA-BD17-04C3AF12B794}" presName="hierChild3" presStyleCnt="0"/>
      <dgm:spPr/>
    </dgm:pt>
    <dgm:pt modelId="{94159250-7BBD-4989-AB6A-1CB2BA384D1F}" type="pres">
      <dgm:prSet presAssocID="{30E5AADD-978C-47D3-838A-EE0AE9E58869}" presName="Name96" presStyleLbl="parChTrans1D2" presStyleIdx="0" presStyleCnt="2"/>
      <dgm:spPr/>
    </dgm:pt>
    <dgm:pt modelId="{313B717C-EE95-4886-B51B-209D6F36FB86}" type="pres">
      <dgm:prSet presAssocID="{38B6637B-7FCC-479A-B90F-F0FD7D163A79}" presName="hierRoot3" presStyleCnt="0">
        <dgm:presLayoutVars>
          <dgm:hierBranch val="init"/>
        </dgm:presLayoutVars>
      </dgm:prSet>
      <dgm:spPr/>
    </dgm:pt>
    <dgm:pt modelId="{36778E07-7E0F-42E6-9122-13E6CFD7AFAF}" type="pres">
      <dgm:prSet presAssocID="{38B6637B-7FCC-479A-B90F-F0FD7D163A79}" presName="rootComposite3" presStyleCnt="0"/>
      <dgm:spPr/>
    </dgm:pt>
    <dgm:pt modelId="{D82F491E-5F0C-4C6C-8A2C-7183335B8FBD}" type="pres">
      <dgm:prSet presAssocID="{38B6637B-7FCC-479A-B90F-F0FD7D163A79}" presName="rootText3" presStyleLbl="asst1" presStyleIdx="0" presStyleCnt="2" custScaleX="75132" custScaleY="75132" custLinFactX="-11439" custLinFactNeighborX="-100000" custLinFactNeighborY="-8014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B8A6459B-86F1-47F5-B729-7CCFD5086CB2}" type="pres">
      <dgm:prSet presAssocID="{38B6637B-7FCC-479A-B90F-F0FD7D163A79}" presName="titleText3" presStyleLbl="fgAcc2" presStyleIdx="0" presStyleCnt="2" custScaleX="75132" custScaleY="75132" custLinFactX="-23834" custLinFactNeighborX="-100000" custLinFactNeighborY="-24040">
        <dgm:presLayoutVars>
          <dgm:chMax val="0"/>
          <dgm:chPref val="0"/>
        </dgm:presLayoutVars>
      </dgm:prSet>
      <dgm:spPr/>
    </dgm:pt>
    <dgm:pt modelId="{11DA45E9-3ABE-4D04-900D-8C63DFA6FDAA}" type="pres">
      <dgm:prSet presAssocID="{38B6637B-7FCC-479A-B90F-F0FD7D163A79}" presName="rootConnector3" presStyleLbl="asst1" presStyleIdx="0" presStyleCnt="2"/>
      <dgm:spPr/>
    </dgm:pt>
    <dgm:pt modelId="{5D1C1B60-3AE2-49D7-AD90-843B8A8D743B}" type="pres">
      <dgm:prSet presAssocID="{38B6637B-7FCC-479A-B90F-F0FD7D163A79}" presName="hierChild6" presStyleCnt="0"/>
      <dgm:spPr/>
    </dgm:pt>
    <dgm:pt modelId="{9AAD17EA-2F8E-4A61-8069-F030FA9C805F}" type="pres">
      <dgm:prSet presAssocID="{03141347-B6A6-4549-8143-685B8B40DFE8}" presName="Name37" presStyleLbl="parChTrans1D3" presStyleIdx="0" presStyleCnt="3"/>
      <dgm:spPr/>
    </dgm:pt>
    <dgm:pt modelId="{17A49412-BCD3-4ED3-AB9B-A4FE00E9DFA4}" type="pres">
      <dgm:prSet presAssocID="{F7B95EA7-BA23-4BFC-AB31-774DF22F3643}" presName="hierRoot2" presStyleCnt="0">
        <dgm:presLayoutVars>
          <dgm:hierBranch val="init"/>
        </dgm:presLayoutVars>
      </dgm:prSet>
      <dgm:spPr/>
    </dgm:pt>
    <dgm:pt modelId="{E7C71BCD-D21C-44BC-A576-D2978C391506}" type="pres">
      <dgm:prSet presAssocID="{F7B95EA7-BA23-4BFC-AB31-774DF22F3643}" presName="rootComposite" presStyleCnt="0"/>
      <dgm:spPr/>
    </dgm:pt>
    <dgm:pt modelId="{11E6ED15-8522-4B21-8079-5ECACE4BE035}" type="pres">
      <dgm:prSet presAssocID="{F7B95EA7-BA23-4BFC-AB31-774DF22F3643}" presName="rootText" presStyleLbl="node1" presStyleIdx="0" presStyleCnt="6" custScaleX="75132" custScaleY="75132" custLinFactX="-11439" custLinFactNeighborX="-100000" custLinFactNeighborY="-8014">
        <dgm:presLayoutVars>
          <dgm:chMax/>
          <dgm:chPref val="3"/>
        </dgm:presLayoutVars>
      </dgm:prSet>
      <dgm:spPr>
        <a:prstGeom prst="flowChartAlternateProcess">
          <a:avLst/>
        </a:prstGeom>
      </dgm:spPr>
    </dgm:pt>
    <dgm:pt modelId="{225F2CEA-E07F-4170-B27C-B7C19CBCA53D}" type="pres">
      <dgm:prSet presAssocID="{F7B95EA7-BA23-4BFC-AB31-774DF22F3643}" presName="titleText2" presStyleLbl="fgAcc1" presStyleIdx="0" presStyleCnt="6" custScaleX="75132" custScaleY="75132" custLinFactX="-23834" custLinFactNeighborX="-100000" custLinFactNeighborY="-24040">
        <dgm:presLayoutVars>
          <dgm:chMax val="0"/>
          <dgm:chPref val="0"/>
        </dgm:presLayoutVars>
      </dgm:prSet>
      <dgm:spPr/>
    </dgm:pt>
    <dgm:pt modelId="{9A15155D-7BD5-4366-9EA2-219B6ABE9AFF}" type="pres">
      <dgm:prSet presAssocID="{F7B95EA7-BA23-4BFC-AB31-774DF22F3643}" presName="rootConnector" presStyleLbl="node3" presStyleIdx="0" presStyleCnt="0"/>
      <dgm:spPr/>
    </dgm:pt>
    <dgm:pt modelId="{FEF0D49A-9AA7-4B7C-A698-B40A7E6D4D2C}" type="pres">
      <dgm:prSet presAssocID="{F7B95EA7-BA23-4BFC-AB31-774DF22F3643}" presName="hierChild4" presStyleCnt="0"/>
      <dgm:spPr/>
    </dgm:pt>
    <dgm:pt modelId="{F498F8C2-E822-41BD-816A-645B6DE71075}" type="pres">
      <dgm:prSet presAssocID="{160041FE-9EF5-4442-9B0A-E78AF66CE9E5}" presName="Name37" presStyleLbl="parChTrans1D4" presStyleIdx="0" presStyleCnt="3"/>
      <dgm:spPr/>
    </dgm:pt>
    <dgm:pt modelId="{ABAD90C7-EA5C-4CD5-86A2-E66729114616}" type="pres">
      <dgm:prSet presAssocID="{915C3BEE-4490-4388-AA09-19744AEDC1F5}" presName="hierRoot2" presStyleCnt="0">
        <dgm:presLayoutVars>
          <dgm:hierBranch val="init"/>
        </dgm:presLayoutVars>
      </dgm:prSet>
      <dgm:spPr/>
    </dgm:pt>
    <dgm:pt modelId="{C28A37CD-33DE-4EC3-B148-B9B9189FA3B8}" type="pres">
      <dgm:prSet presAssocID="{915C3BEE-4490-4388-AA09-19744AEDC1F5}" presName="rootComposite" presStyleCnt="0"/>
      <dgm:spPr/>
    </dgm:pt>
    <dgm:pt modelId="{E607153E-9E0D-4429-8023-B96746487D1F}" type="pres">
      <dgm:prSet presAssocID="{915C3BEE-4490-4388-AA09-19744AEDC1F5}" presName="rootText" presStyleLbl="node1" presStyleIdx="1" presStyleCnt="6" custScaleX="75132" custScaleY="75132" custLinFactX="-11439" custLinFactNeighborX="-100000" custLinFactNeighborY="-8014">
        <dgm:presLayoutVars>
          <dgm:chMax/>
          <dgm:chPref val="3"/>
        </dgm:presLayoutVars>
      </dgm:prSet>
      <dgm:spPr>
        <a:prstGeom prst="flowChartAlternateProcess">
          <a:avLst/>
        </a:prstGeom>
      </dgm:spPr>
    </dgm:pt>
    <dgm:pt modelId="{23A2BA66-1B29-4C38-8D21-CB1CBE5B043A}" type="pres">
      <dgm:prSet presAssocID="{915C3BEE-4490-4388-AA09-19744AEDC1F5}" presName="titleText2" presStyleLbl="fgAcc1" presStyleIdx="1" presStyleCnt="6" custScaleX="75132" custScaleY="75132" custLinFactX="-23834" custLinFactNeighborX="-100000" custLinFactNeighborY="-24040">
        <dgm:presLayoutVars>
          <dgm:chMax val="0"/>
          <dgm:chPref val="0"/>
        </dgm:presLayoutVars>
      </dgm:prSet>
      <dgm:spPr/>
    </dgm:pt>
    <dgm:pt modelId="{1470EECD-FBBA-4B67-86AF-6FA6418AF8FD}" type="pres">
      <dgm:prSet presAssocID="{915C3BEE-4490-4388-AA09-19744AEDC1F5}" presName="rootConnector" presStyleLbl="node4" presStyleIdx="0" presStyleCnt="0"/>
      <dgm:spPr/>
    </dgm:pt>
    <dgm:pt modelId="{6708F42B-D45B-4D42-838F-FBE25C99AD42}" type="pres">
      <dgm:prSet presAssocID="{915C3BEE-4490-4388-AA09-19744AEDC1F5}" presName="hierChild4" presStyleCnt="0"/>
      <dgm:spPr/>
    </dgm:pt>
    <dgm:pt modelId="{DCBC400A-9DB2-4866-B613-15612BF47DAC}" type="pres">
      <dgm:prSet presAssocID="{915C3BEE-4490-4388-AA09-19744AEDC1F5}" presName="hierChild5" presStyleCnt="0"/>
      <dgm:spPr/>
    </dgm:pt>
    <dgm:pt modelId="{2FF92E4F-3EB6-4F62-93D0-0745A672687A}" type="pres">
      <dgm:prSet presAssocID="{8B2C006D-60B4-47A1-9395-C1510FFB8D46}" presName="Name37" presStyleLbl="parChTrans1D4" presStyleIdx="1" presStyleCnt="3"/>
      <dgm:spPr/>
    </dgm:pt>
    <dgm:pt modelId="{7150D3C8-8082-4840-95A7-F99AAA3E7193}" type="pres">
      <dgm:prSet presAssocID="{48F8A3FE-8832-40B3-BBC8-7E3EE89B9496}" presName="hierRoot2" presStyleCnt="0">
        <dgm:presLayoutVars>
          <dgm:hierBranch val="init"/>
        </dgm:presLayoutVars>
      </dgm:prSet>
      <dgm:spPr/>
    </dgm:pt>
    <dgm:pt modelId="{CF2F7B22-9333-4147-A103-ED3BE9593D32}" type="pres">
      <dgm:prSet presAssocID="{48F8A3FE-8832-40B3-BBC8-7E3EE89B9496}" presName="rootComposite" presStyleCnt="0"/>
      <dgm:spPr/>
    </dgm:pt>
    <dgm:pt modelId="{654CD322-AFA8-40DD-A899-4E766024CFEF}" type="pres">
      <dgm:prSet presAssocID="{48F8A3FE-8832-40B3-BBC8-7E3EE89B9496}" presName="rootText" presStyleLbl="node1" presStyleIdx="2" presStyleCnt="6" custScaleX="75132" custScaleY="75132" custLinFactX="-11439" custLinFactNeighborX="-100000" custLinFactNeighborY="-8014">
        <dgm:presLayoutVars>
          <dgm:chMax/>
          <dgm:chPref val="3"/>
        </dgm:presLayoutVars>
      </dgm:prSet>
      <dgm:spPr>
        <a:prstGeom prst="flowChartAlternateProcess">
          <a:avLst/>
        </a:prstGeom>
      </dgm:spPr>
    </dgm:pt>
    <dgm:pt modelId="{3EA747E5-109D-40A4-BDB3-EA695577420A}" type="pres">
      <dgm:prSet presAssocID="{48F8A3FE-8832-40B3-BBC8-7E3EE89B9496}" presName="titleText2" presStyleLbl="fgAcc1" presStyleIdx="2" presStyleCnt="6" custScaleX="75132" custScaleY="75132" custLinFactX="-23834" custLinFactNeighborX="-100000" custLinFactNeighborY="-24040">
        <dgm:presLayoutVars>
          <dgm:chMax val="0"/>
          <dgm:chPref val="0"/>
        </dgm:presLayoutVars>
      </dgm:prSet>
      <dgm:spPr/>
    </dgm:pt>
    <dgm:pt modelId="{EB0A43A6-0425-49F6-9805-6381CED8EA47}" type="pres">
      <dgm:prSet presAssocID="{48F8A3FE-8832-40B3-BBC8-7E3EE89B9496}" presName="rootConnector" presStyleLbl="node4" presStyleIdx="0" presStyleCnt="0"/>
      <dgm:spPr/>
    </dgm:pt>
    <dgm:pt modelId="{D697C9C5-F684-48F5-A29C-3F17D94DFC16}" type="pres">
      <dgm:prSet presAssocID="{48F8A3FE-8832-40B3-BBC8-7E3EE89B9496}" presName="hierChild4" presStyleCnt="0"/>
      <dgm:spPr/>
    </dgm:pt>
    <dgm:pt modelId="{BC5C531E-8FC2-4FDE-91E4-EEE5DDEF9C42}" type="pres">
      <dgm:prSet presAssocID="{48F8A3FE-8832-40B3-BBC8-7E3EE89B9496}" presName="hierChild5" presStyleCnt="0"/>
      <dgm:spPr/>
    </dgm:pt>
    <dgm:pt modelId="{BF2B6B0A-BFCD-4D58-AE86-880259042867}" type="pres">
      <dgm:prSet presAssocID="{F7B95EA7-BA23-4BFC-AB31-774DF22F3643}" presName="hierChild5" presStyleCnt="0"/>
      <dgm:spPr/>
    </dgm:pt>
    <dgm:pt modelId="{71536745-FE7D-4690-895C-08331AC1F7D9}" type="pres">
      <dgm:prSet presAssocID="{EDCB7063-1E31-423C-BBBD-FDBE890BD6A6}" presName="Name37" presStyleLbl="parChTrans1D3" presStyleIdx="1" presStyleCnt="3"/>
      <dgm:spPr/>
    </dgm:pt>
    <dgm:pt modelId="{ADB70EB1-4366-499E-8926-00AE54470C81}" type="pres">
      <dgm:prSet presAssocID="{AA693B59-B72B-4197-9415-5C2BAD9CDA97}" presName="hierRoot2" presStyleCnt="0">
        <dgm:presLayoutVars>
          <dgm:hierBranch val="init"/>
        </dgm:presLayoutVars>
      </dgm:prSet>
      <dgm:spPr/>
    </dgm:pt>
    <dgm:pt modelId="{1DF8FFB0-7C05-4F73-BEFB-D177322AC316}" type="pres">
      <dgm:prSet presAssocID="{AA693B59-B72B-4197-9415-5C2BAD9CDA97}" presName="rootComposite" presStyleCnt="0"/>
      <dgm:spPr/>
    </dgm:pt>
    <dgm:pt modelId="{AAA33040-B15D-497C-992E-8C286F8AFD8F}" type="pres">
      <dgm:prSet presAssocID="{AA693B59-B72B-4197-9415-5C2BAD9CDA97}" presName="rootText" presStyleLbl="node1" presStyleIdx="3" presStyleCnt="6" custScaleX="75132" custScaleY="75132" custLinFactX="-11439" custLinFactNeighborX="-100000" custLinFactNeighborY="-8014">
        <dgm:presLayoutVars>
          <dgm:chMax/>
          <dgm:chPref val="3"/>
        </dgm:presLayoutVars>
      </dgm:prSet>
      <dgm:spPr>
        <a:prstGeom prst="flowChartAlternateProcess">
          <a:avLst/>
        </a:prstGeom>
      </dgm:spPr>
    </dgm:pt>
    <dgm:pt modelId="{0189B060-811A-4D63-A186-183462241834}" type="pres">
      <dgm:prSet presAssocID="{AA693B59-B72B-4197-9415-5C2BAD9CDA97}" presName="titleText2" presStyleLbl="fgAcc1" presStyleIdx="3" presStyleCnt="6" custScaleX="75132" custScaleY="75132" custLinFactX="-23834" custLinFactNeighborX="-100000" custLinFactNeighborY="-24040">
        <dgm:presLayoutVars>
          <dgm:chMax val="0"/>
          <dgm:chPref val="0"/>
        </dgm:presLayoutVars>
      </dgm:prSet>
      <dgm:spPr/>
    </dgm:pt>
    <dgm:pt modelId="{FE4DEF67-D2B6-4338-B50E-047523B493AE}" type="pres">
      <dgm:prSet presAssocID="{AA693B59-B72B-4197-9415-5C2BAD9CDA97}" presName="rootConnector" presStyleLbl="node3" presStyleIdx="0" presStyleCnt="0"/>
      <dgm:spPr/>
    </dgm:pt>
    <dgm:pt modelId="{5375CDA2-A649-4F02-8AAC-3367252422FE}" type="pres">
      <dgm:prSet presAssocID="{AA693B59-B72B-4197-9415-5C2BAD9CDA97}" presName="hierChild4" presStyleCnt="0"/>
      <dgm:spPr/>
    </dgm:pt>
    <dgm:pt modelId="{3B7050E4-C988-49FD-A5C4-B6ED72DDCFB3}" type="pres">
      <dgm:prSet presAssocID="{AA693B59-B72B-4197-9415-5C2BAD9CDA97}" presName="hierChild5" presStyleCnt="0"/>
      <dgm:spPr/>
    </dgm:pt>
    <dgm:pt modelId="{0F215945-2B71-463C-A0C7-481F067B48F8}" type="pres">
      <dgm:prSet presAssocID="{38B6637B-7FCC-479A-B90F-F0FD7D163A79}" presName="hierChild7" presStyleCnt="0"/>
      <dgm:spPr/>
    </dgm:pt>
    <dgm:pt modelId="{BE2B48F9-75A2-4663-9672-37DEBCF73FFF}" type="pres">
      <dgm:prSet presAssocID="{F30E1C3F-8D35-4059-8327-76FE9FA20651}" presName="Name96" presStyleLbl="parChTrans1D2" presStyleIdx="1" presStyleCnt="2"/>
      <dgm:spPr/>
    </dgm:pt>
    <dgm:pt modelId="{67C09044-65A8-4F31-90FC-3DF15E226092}" type="pres">
      <dgm:prSet presAssocID="{8C20155B-9B51-492A-9DA9-621B3E6D96D9}" presName="hierRoot3" presStyleCnt="0">
        <dgm:presLayoutVars>
          <dgm:hierBranch val="init"/>
        </dgm:presLayoutVars>
      </dgm:prSet>
      <dgm:spPr/>
    </dgm:pt>
    <dgm:pt modelId="{F7FE178B-6C08-4C5A-9014-D31061C0D5FD}" type="pres">
      <dgm:prSet presAssocID="{8C20155B-9B51-492A-9DA9-621B3E6D96D9}" presName="rootComposite3" presStyleCnt="0"/>
      <dgm:spPr/>
    </dgm:pt>
    <dgm:pt modelId="{5EA3FB49-B6F3-4FA0-98B7-795DE9994733}" type="pres">
      <dgm:prSet presAssocID="{8C20155B-9B51-492A-9DA9-621B3E6D96D9}" presName="rootText3" presStyleLbl="asst1" presStyleIdx="1" presStyleCnt="2" custScaleX="75132" custScaleY="75132" custLinFactX="-11439" custLinFactNeighborX="-100000" custLinFactNeighborY="-8014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3F1CE866-9C19-4D1F-87A6-59657C9D3B1E}" type="pres">
      <dgm:prSet presAssocID="{8C20155B-9B51-492A-9DA9-621B3E6D96D9}" presName="titleText3" presStyleLbl="fgAcc2" presStyleIdx="1" presStyleCnt="2" custScaleX="75132" custScaleY="75132" custLinFactX="-23834" custLinFactNeighborX="-100000" custLinFactNeighborY="-24040">
        <dgm:presLayoutVars>
          <dgm:chMax val="0"/>
          <dgm:chPref val="0"/>
        </dgm:presLayoutVars>
      </dgm:prSet>
      <dgm:spPr/>
    </dgm:pt>
    <dgm:pt modelId="{2A3DA5CD-15AE-40F2-BB91-91F568E87EB7}" type="pres">
      <dgm:prSet presAssocID="{8C20155B-9B51-492A-9DA9-621B3E6D96D9}" presName="rootConnector3" presStyleLbl="asst1" presStyleIdx="1" presStyleCnt="2"/>
      <dgm:spPr/>
    </dgm:pt>
    <dgm:pt modelId="{09FDF511-C678-49C5-83A7-A9965EC63662}" type="pres">
      <dgm:prSet presAssocID="{8C20155B-9B51-492A-9DA9-621B3E6D96D9}" presName="hierChild6" presStyleCnt="0"/>
      <dgm:spPr/>
    </dgm:pt>
    <dgm:pt modelId="{0FEC3E01-D3BF-4512-AE0B-5E069AA1DA4C}" type="pres">
      <dgm:prSet presAssocID="{41FBC6E8-4A91-4701-B2C5-128D77C19728}" presName="Name37" presStyleLbl="parChTrans1D3" presStyleIdx="2" presStyleCnt="3"/>
      <dgm:spPr/>
    </dgm:pt>
    <dgm:pt modelId="{32B3C710-E1E6-4BE3-811E-617C40E2AB38}" type="pres">
      <dgm:prSet presAssocID="{B010B8D4-C888-4DA9-981C-1A745EBFC445}" presName="hierRoot2" presStyleCnt="0">
        <dgm:presLayoutVars>
          <dgm:hierBranch val="init"/>
        </dgm:presLayoutVars>
      </dgm:prSet>
      <dgm:spPr/>
    </dgm:pt>
    <dgm:pt modelId="{A4B0605E-67C5-4400-B742-E45BA0B5AD75}" type="pres">
      <dgm:prSet presAssocID="{B010B8D4-C888-4DA9-981C-1A745EBFC445}" presName="rootComposite" presStyleCnt="0"/>
      <dgm:spPr/>
    </dgm:pt>
    <dgm:pt modelId="{425ECDA1-FF32-4E34-B9CA-8301B5EF97F5}" type="pres">
      <dgm:prSet presAssocID="{B010B8D4-C888-4DA9-981C-1A745EBFC445}" presName="rootText" presStyleLbl="node1" presStyleIdx="4" presStyleCnt="6" custScaleX="75132" custScaleY="75132" custLinFactX="-5114" custLinFactNeighborX="-100000" custLinFactNeighborY="-8014">
        <dgm:presLayoutVars>
          <dgm:chMax/>
          <dgm:chPref val="3"/>
        </dgm:presLayoutVars>
      </dgm:prSet>
      <dgm:spPr>
        <a:prstGeom prst="flowChartAlternateProcess">
          <a:avLst/>
        </a:prstGeom>
      </dgm:spPr>
    </dgm:pt>
    <dgm:pt modelId="{D47E54AD-0288-4854-B15F-2A7543AC1A59}" type="pres">
      <dgm:prSet presAssocID="{B010B8D4-C888-4DA9-981C-1A745EBFC445}" presName="titleText2" presStyleLbl="fgAcc1" presStyleIdx="4" presStyleCnt="6" custScaleX="75132" custScaleY="75132" custLinFactX="-23834" custLinFactNeighborX="-100000" custLinFactNeighborY="-24040">
        <dgm:presLayoutVars>
          <dgm:chMax val="0"/>
          <dgm:chPref val="0"/>
        </dgm:presLayoutVars>
      </dgm:prSet>
      <dgm:spPr/>
    </dgm:pt>
    <dgm:pt modelId="{829C501A-AF1C-4252-982C-C6716C329E82}" type="pres">
      <dgm:prSet presAssocID="{B010B8D4-C888-4DA9-981C-1A745EBFC445}" presName="rootConnector" presStyleLbl="node3" presStyleIdx="0" presStyleCnt="0"/>
      <dgm:spPr/>
    </dgm:pt>
    <dgm:pt modelId="{CD53EE08-AFE2-4EDE-914C-3083D70E2FFA}" type="pres">
      <dgm:prSet presAssocID="{B010B8D4-C888-4DA9-981C-1A745EBFC445}" presName="hierChild4" presStyleCnt="0"/>
      <dgm:spPr/>
    </dgm:pt>
    <dgm:pt modelId="{D9A6C850-46B9-49F0-BD25-D44FDDF8793B}" type="pres">
      <dgm:prSet presAssocID="{2AABC200-2B8C-46CE-9D96-92C7281DAD66}" presName="Name37" presStyleLbl="parChTrans1D4" presStyleIdx="2" presStyleCnt="3"/>
      <dgm:spPr/>
    </dgm:pt>
    <dgm:pt modelId="{1DB54663-5596-4AF8-9ACC-90CFC6267DF3}" type="pres">
      <dgm:prSet presAssocID="{25CD4324-A654-4807-8D3C-7A86626A5B92}" presName="hierRoot2" presStyleCnt="0">
        <dgm:presLayoutVars>
          <dgm:hierBranch val="init"/>
        </dgm:presLayoutVars>
      </dgm:prSet>
      <dgm:spPr/>
    </dgm:pt>
    <dgm:pt modelId="{E30AACBD-8CBB-4668-A610-9BC59CA6E070}" type="pres">
      <dgm:prSet presAssocID="{25CD4324-A654-4807-8D3C-7A86626A5B92}" presName="rootComposite" presStyleCnt="0"/>
      <dgm:spPr/>
    </dgm:pt>
    <dgm:pt modelId="{C42E08BA-7A10-4DBC-B19D-16E78ABBF67D}" type="pres">
      <dgm:prSet presAssocID="{25CD4324-A654-4807-8D3C-7A86626A5B92}" presName="rootText" presStyleLbl="node1" presStyleIdx="5" presStyleCnt="6" custScaleX="75132" custScaleY="75132" custLinFactNeighborX="-24302" custLinFactNeighborY="-5342">
        <dgm:presLayoutVars>
          <dgm:chMax/>
          <dgm:chPref val="3"/>
        </dgm:presLayoutVars>
      </dgm:prSet>
      <dgm:spPr>
        <a:prstGeom prst="flowChartAlternateProcess">
          <a:avLst/>
        </a:prstGeom>
      </dgm:spPr>
    </dgm:pt>
    <dgm:pt modelId="{356A3C42-5037-47A7-88C5-416F3FE5F0CB}" type="pres">
      <dgm:prSet presAssocID="{25CD4324-A654-4807-8D3C-7A86626A5B92}" presName="titleText2" presStyleLbl="fgAcc1" presStyleIdx="5" presStyleCnt="6" custScaleX="75132" custScaleY="75132" custLinFactNeighborX="-29576" custLinFactNeighborY="-13355">
        <dgm:presLayoutVars>
          <dgm:chMax val="0"/>
          <dgm:chPref val="0"/>
        </dgm:presLayoutVars>
      </dgm:prSet>
      <dgm:spPr/>
    </dgm:pt>
    <dgm:pt modelId="{5B493D6E-35FE-440F-9B78-7A00F21ACBC1}" type="pres">
      <dgm:prSet presAssocID="{25CD4324-A654-4807-8D3C-7A86626A5B92}" presName="rootConnector" presStyleLbl="node4" presStyleIdx="0" presStyleCnt="0"/>
      <dgm:spPr/>
    </dgm:pt>
    <dgm:pt modelId="{E7A7F69B-70E0-4721-93E1-6B2DB1FA6495}" type="pres">
      <dgm:prSet presAssocID="{25CD4324-A654-4807-8D3C-7A86626A5B92}" presName="hierChild4" presStyleCnt="0"/>
      <dgm:spPr/>
    </dgm:pt>
    <dgm:pt modelId="{9D3A2AE2-115B-478F-9203-D68759275DD2}" type="pres">
      <dgm:prSet presAssocID="{25CD4324-A654-4807-8D3C-7A86626A5B92}" presName="hierChild5" presStyleCnt="0"/>
      <dgm:spPr/>
    </dgm:pt>
    <dgm:pt modelId="{E7B11FBF-105F-4DD5-919F-15BE71AA87E8}" type="pres">
      <dgm:prSet presAssocID="{B010B8D4-C888-4DA9-981C-1A745EBFC445}" presName="hierChild5" presStyleCnt="0"/>
      <dgm:spPr/>
    </dgm:pt>
    <dgm:pt modelId="{9B510C1E-85CF-478B-9A60-43146A4980B0}" type="pres">
      <dgm:prSet presAssocID="{8C20155B-9B51-492A-9DA9-621B3E6D96D9}" presName="hierChild7" presStyleCnt="0"/>
      <dgm:spPr/>
    </dgm:pt>
  </dgm:ptLst>
  <dgm:cxnLst>
    <dgm:cxn modelId="{9BFDB708-643A-4ABB-98E4-892EA9173A70}" srcId="{38B6637B-7FCC-479A-B90F-F0FD7D163A79}" destId="{F7B95EA7-BA23-4BFC-AB31-774DF22F3643}" srcOrd="0" destOrd="0" parTransId="{03141347-B6A6-4549-8143-685B8B40DFE8}" sibTransId="{716198CF-4A2B-4E2B-B233-E5FB6FC0383F}"/>
    <dgm:cxn modelId="{35311D10-936A-491F-A7BC-D0833B050D5F}" type="presOf" srcId="{F7B95EA7-BA23-4BFC-AB31-774DF22F3643}" destId="{11E6ED15-8522-4B21-8079-5ECACE4BE035}" srcOrd="0" destOrd="0" presId="urn:microsoft.com/office/officeart/2008/layout/NameandTitleOrganizationalChart"/>
    <dgm:cxn modelId="{47861112-5272-4ABA-9A04-496FE2448559}" type="presOf" srcId="{8B2C006D-60B4-47A1-9395-C1510FFB8D46}" destId="{2FF92E4F-3EB6-4F62-93D0-0745A672687A}" srcOrd="0" destOrd="0" presId="urn:microsoft.com/office/officeart/2008/layout/NameandTitleOrganizationalChart"/>
    <dgm:cxn modelId="{16F3A715-6B9E-4356-9DF6-AD644D031AA8}" type="presOf" srcId="{9787DD9A-D5DE-4DD1-BB8A-D729799DFE55}" destId="{4DEC4A75-704F-4A9E-AB45-28334A18FCD1}" srcOrd="0" destOrd="0" presId="urn:microsoft.com/office/officeart/2008/layout/NameandTitleOrganizationalChart"/>
    <dgm:cxn modelId="{9A26F837-349D-4D39-B9F4-9F225E93108F}" type="presOf" srcId="{915C3BEE-4490-4388-AA09-19744AEDC1F5}" destId="{1470EECD-FBBA-4B67-86AF-6FA6418AF8FD}" srcOrd="1" destOrd="0" presId="urn:microsoft.com/office/officeart/2008/layout/NameandTitleOrganizationalChart"/>
    <dgm:cxn modelId="{3E37B53F-B3F7-4AB4-B167-25AFAC7634F5}" type="presOf" srcId="{7833E24E-02FA-4DAA-BD17-04C3AF12B794}" destId="{5ED3AC68-A92D-450C-98C3-C7D183035CDC}" srcOrd="1" destOrd="0" presId="urn:microsoft.com/office/officeart/2008/layout/NameandTitleOrganizationalChart"/>
    <dgm:cxn modelId="{4E3E5E40-41D4-4527-89FF-AECF67FB313C}" type="presOf" srcId="{38B6637B-7FCC-479A-B90F-F0FD7D163A79}" destId="{D82F491E-5F0C-4C6C-8A2C-7183335B8FBD}" srcOrd="0" destOrd="0" presId="urn:microsoft.com/office/officeart/2008/layout/NameandTitleOrganizationalChart"/>
    <dgm:cxn modelId="{C2DA765F-4064-4077-8314-9D632BE157E7}" type="presOf" srcId="{B5AAB558-864A-4148-A343-2DDADABD0C7F}" destId="{3F1CE866-9C19-4D1F-87A6-59657C9D3B1E}" srcOrd="0" destOrd="0" presId="urn:microsoft.com/office/officeart/2008/layout/NameandTitleOrganizationalChart"/>
    <dgm:cxn modelId="{1AC87F41-F021-43B4-9AB4-EF2D178FB5B6}" type="presOf" srcId="{41FBC6E8-4A91-4701-B2C5-128D77C19728}" destId="{0FEC3E01-D3BF-4512-AE0B-5E069AA1DA4C}" srcOrd="0" destOrd="0" presId="urn:microsoft.com/office/officeart/2008/layout/NameandTitleOrganizationalChart"/>
    <dgm:cxn modelId="{EF00F343-C72B-486C-9491-AD08673594A9}" type="presOf" srcId="{48F8A3FE-8832-40B3-BBC8-7E3EE89B9496}" destId="{654CD322-AFA8-40DD-A899-4E766024CFEF}" srcOrd="0" destOrd="0" presId="urn:microsoft.com/office/officeart/2008/layout/NameandTitleOrganizationalChart"/>
    <dgm:cxn modelId="{6113B267-F86E-49DD-B8E3-64621F04D007}" type="presOf" srcId="{03141347-B6A6-4549-8143-685B8B40DFE8}" destId="{9AAD17EA-2F8E-4A61-8069-F030FA9C805F}" srcOrd="0" destOrd="0" presId="urn:microsoft.com/office/officeart/2008/layout/NameandTitleOrganizationalChart"/>
    <dgm:cxn modelId="{CD69A96A-515A-45FC-9F51-34F954BD0C19}" type="presOf" srcId="{D3DE737D-5455-4453-95F0-E373C0DFEE4E}" destId="{B8A6459B-86F1-47F5-B729-7CCFD5086CB2}" srcOrd="0" destOrd="0" presId="urn:microsoft.com/office/officeart/2008/layout/NameandTitleOrganizationalChart"/>
    <dgm:cxn modelId="{0649326B-4B31-49DE-8DD3-B9A1C79B205C}" type="presOf" srcId="{716198CF-4A2B-4E2B-B233-E5FB6FC0383F}" destId="{225F2CEA-E07F-4170-B27C-B7C19CBCA53D}" srcOrd="0" destOrd="0" presId="urn:microsoft.com/office/officeart/2008/layout/NameandTitleOrganizationalChart"/>
    <dgm:cxn modelId="{1375334B-BBA6-42EB-BA7D-5C43AA17522A}" srcId="{F7B95EA7-BA23-4BFC-AB31-774DF22F3643}" destId="{915C3BEE-4490-4388-AA09-19744AEDC1F5}" srcOrd="0" destOrd="0" parTransId="{160041FE-9EF5-4442-9B0A-E78AF66CE9E5}" sibTransId="{C1634D3E-8B21-44B5-B149-A53278F5BAD8}"/>
    <dgm:cxn modelId="{D44D6E4E-8F2A-4E39-A0B2-B1A70E646689}" type="presOf" srcId="{8C20155B-9B51-492A-9DA9-621B3E6D96D9}" destId="{2A3DA5CD-15AE-40F2-BB91-91F568E87EB7}" srcOrd="1" destOrd="0" presId="urn:microsoft.com/office/officeart/2008/layout/NameandTitleOrganizationalChart"/>
    <dgm:cxn modelId="{035FD06F-4783-4419-8C85-2E12DD5FF011}" type="presOf" srcId="{7833E24E-02FA-4DAA-BD17-04C3AF12B794}" destId="{4406D4C4-F0A4-4EB8-B5C0-DF69816D26F1}" srcOrd="0" destOrd="0" presId="urn:microsoft.com/office/officeart/2008/layout/NameandTitleOrganizationalChart"/>
    <dgm:cxn modelId="{BC26A470-0668-4475-B8E3-71F70D89F099}" type="presOf" srcId="{8C20155B-9B51-492A-9DA9-621B3E6D96D9}" destId="{5EA3FB49-B6F3-4FA0-98B7-795DE9994733}" srcOrd="0" destOrd="0" presId="urn:microsoft.com/office/officeart/2008/layout/NameandTitleOrganizationalChart"/>
    <dgm:cxn modelId="{6C6C7E52-A123-4F4F-8783-C199E31B4B47}" srcId="{7833E24E-02FA-4DAA-BD17-04C3AF12B794}" destId="{8C20155B-9B51-492A-9DA9-621B3E6D96D9}" srcOrd="1" destOrd="0" parTransId="{F30E1C3F-8D35-4059-8327-76FE9FA20651}" sibTransId="{B5AAB558-864A-4148-A343-2DDADABD0C7F}"/>
    <dgm:cxn modelId="{9F4D6758-6C71-4B3B-9C21-1B0AA03A2BEC}" type="presOf" srcId="{F7B95EA7-BA23-4BFC-AB31-774DF22F3643}" destId="{9A15155D-7BD5-4366-9EA2-219B6ABE9AFF}" srcOrd="1" destOrd="0" presId="urn:microsoft.com/office/officeart/2008/layout/NameandTitleOrganizationalChart"/>
    <dgm:cxn modelId="{9EAEA078-E7F1-424F-A598-0C8A9015D04D}" type="presOf" srcId="{7CDD80FE-30A5-4165-844F-9129EAE344C6}" destId="{356A3C42-5037-47A7-88C5-416F3FE5F0CB}" srcOrd="0" destOrd="0" presId="urn:microsoft.com/office/officeart/2008/layout/NameandTitleOrganizationalChart"/>
    <dgm:cxn modelId="{706AEB7F-9F1D-46CD-AE03-D2B14EF54166}" type="presOf" srcId="{160041FE-9EF5-4442-9B0A-E78AF66CE9E5}" destId="{F498F8C2-E822-41BD-816A-645B6DE71075}" srcOrd="0" destOrd="0" presId="urn:microsoft.com/office/officeart/2008/layout/NameandTitleOrganizationalChart"/>
    <dgm:cxn modelId="{663C3983-B41A-4EC5-B340-A77959085F50}" type="presOf" srcId="{AA693B59-B72B-4197-9415-5C2BAD9CDA97}" destId="{FE4DEF67-D2B6-4338-B50E-047523B493AE}" srcOrd="1" destOrd="0" presId="urn:microsoft.com/office/officeart/2008/layout/NameandTitleOrganizationalChart"/>
    <dgm:cxn modelId="{420F0A86-DCD4-4C34-8174-5C7CC2A4B3CE}" type="presOf" srcId="{82664FCB-BE75-40EE-A0F5-3C09C190E575}" destId="{D47E54AD-0288-4854-B15F-2A7543AC1A59}" srcOrd="0" destOrd="0" presId="urn:microsoft.com/office/officeart/2008/layout/NameandTitleOrganizationalChart"/>
    <dgm:cxn modelId="{CAC09D88-3797-4AB1-B444-AB7E7C00F23B}" srcId="{B010B8D4-C888-4DA9-981C-1A745EBFC445}" destId="{25CD4324-A654-4807-8D3C-7A86626A5B92}" srcOrd="0" destOrd="0" parTransId="{2AABC200-2B8C-46CE-9D96-92C7281DAD66}" sibTransId="{7CDD80FE-30A5-4165-844F-9129EAE344C6}"/>
    <dgm:cxn modelId="{BBF55B8B-A660-4D0D-833B-8744FEA09588}" type="presOf" srcId="{7931890B-4994-4D87-9A04-60AE525C6447}" destId="{3C59C864-9B14-4B3B-88B6-D4A7A788528F}" srcOrd="0" destOrd="0" presId="urn:microsoft.com/office/officeart/2008/layout/NameandTitleOrganizationalChart"/>
    <dgm:cxn modelId="{474A5C8B-24DF-4A8D-BB2B-CC2D68E9841E}" type="presOf" srcId="{B010B8D4-C888-4DA9-981C-1A745EBFC445}" destId="{829C501A-AF1C-4252-982C-C6716C329E82}" srcOrd="1" destOrd="0" presId="urn:microsoft.com/office/officeart/2008/layout/NameandTitleOrganizationalChart"/>
    <dgm:cxn modelId="{2D09778E-37A5-4A15-856B-80C16DABC34E}" type="presOf" srcId="{2AABC200-2B8C-46CE-9D96-92C7281DAD66}" destId="{D9A6C850-46B9-49F0-BD25-D44FDDF8793B}" srcOrd="0" destOrd="0" presId="urn:microsoft.com/office/officeart/2008/layout/NameandTitleOrganizationalChart"/>
    <dgm:cxn modelId="{09FDBF96-0B57-4810-9F97-1DD87D8D446C}" type="presOf" srcId="{B010B8D4-C888-4DA9-981C-1A745EBFC445}" destId="{425ECDA1-FF32-4E34-B9CA-8301B5EF97F5}" srcOrd="0" destOrd="0" presId="urn:microsoft.com/office/officeart/2008/layout/NameandTitleOrganizationalChart"/>
    <dgm:cxn modelId="{EADEABB9-8815-4895-BE01-39410F74D5A7}" type="presOf" srcId="{EDCB7063-1E31-423C-BBBD-FDBE890BD6A6}" destId="{71536745-FE7D-4690-895C-08331AC1F7D9}" srcOrd="0" destOrd="0" presId="urn:microsoft.com/office/officeart/2008/layout/NameandTitleOrganizationalChart"/>
    <dgm:cxn modelId="{3855A1BB-CB62-41E7-9605-317075C870BC}" type="presOf" srcId="{48F8A3FE-8832-40B3-BBC8-7E3EE89B9496}" destId="{EB0A43A6-0425-49F6-9805-6381CED8EA47}" srcOrd="1" destOrd="0" presId="urn:microsoft.com/office/officeart/2008/layout/NameandTitleOrganizationalChart"/>
    <dgm:cxn modelId="{87FC3AC7-9F93-41A3-9E54-20ADC90A3556}" type="presOf" srcId="{38B6637B-7FCC-479A-B90F-F0FD7D163A79}" destId="{11DA45E9-3ABE-4D04-900D-8C63DFA6FDAA}" srcOrd="1" destOrd="0" presId="urn:microsoft.com/office/officeart/2008/layout/NameandTitleOrganizationalChart"/>
    <dgm:cxn modelId="{9428AECD-B610-4FE0-96E6-E2903496B6B7}" type="presOf" srcId="{3110C52F-6CA2-4F24-8336-C743681348E4}" destId="{0189B060-811A-4D63-A186-183462241834}" srcOrd="0" destOrd="0" presId="urn:microsoft.com/office/officeart/2008/layout/NameandTitleOrganizationalChart"/>
    <dgm:cxn modelId="{7F4878CF-2072-4A3A-B5F6-FABEE11BAF58}" srcId="{9787DD9A-D5DE-4DD1-BB8A-D729799DFE55}" destId="{7833E24E-02FA-4DAA-BD17-04C3AF12B794}" srcOrd="0" destOrd="0" parTransId="{ACE805A3-C429-43AA-8230-F2E5BA41735F}" sibTransId="{7931890B-4994-4D87-9A04-60AE525C6447}"/>
    <dgm:cxn modelId="{632C2DD2-685E-4C64-9663-A5F79F3E01FD}" type="presOf" srcId="{30E5AADD-978C-47D3-838A-EE0AE9E58869}" destId="{94159250-7BBD-4989-AB6A-1CB2BA384D1F}" srcOrd="0" destOrd="0" presId="urn:microsoft.com/office/officeart/2008/layout/NameandTitleOrganizationalChart"/>
    <dgm:cxn modelId="{B6285DD2-01EA-468E-AC7F-EC462951AC5D}" type="presOf" srcId="{57E93A29-8D61-4871-A94E-11B81016F56C}" destId="{3EA747E5-109D-40A4-BDB3-EA695577420A}" srcOrd="0" destOrd="0" presId="urn:microsoft.com/office/officeart/2008/layout/NameandTitleOrganizationalChart"/>
    <dgm:cxn modelId="{AECD66D4-8F21-4224-BB41-8DFBCCC89529}" srcId="{7833E24E-02FA-4DAA-BD17-04C3AF12B794}" destId="{38B6637B-7FCC-479A-B90F-F0FD7D163A79}" srcOrd="0" destOrd="0" parTransId="{30E5AADD-978C-47D3-838A-EE0AE9E58869}" sibTransId="{D3DE737D-5455-4453-95F0-E373C0DFEE4E}"/>
    <dgm:cxn modelId="{D8B650D4-731D-41DE-9D92-7D87CCFA33CC}" type="presOf" srcId="{915C3BEE-4490-4388-AA09-19744AEDC1F5}" destId="{E607153E-9E0D-4429-8023-B96746487D1F}" srcOrd="0" destOrd="0" presId="urn:microsoft.com/office/officeart/2008/layout/NameandTitleOrganizationalChart"/>
    <dgm:cxn modelId="{B08B48D7-1C64-41E6-9421-5F7CC5ED5A8A}" srcId="{38B6637B-7FCC-479A-B90F-F0FD7D163A79}" destId="{AA693B59-B72B-4197-9415-5C2BAD9CDA97}" srcOrd="1" destOrd="0" parTransId="{EDCB7063-1E31-423C-BBBD-FDBE890BD6A6}" sibTransId="{3110C52F-6CA2-4F24-8336-C743681348E4}"/>
    <dgm:cxn modelId="{2730B9D8-04E4-4920-8842-67497549B858}" srcId="{8C20155B-9B51-492A-9DA9-621B3E6D96D9}" destId="{B010B8D4-C888-4DA9-981C-1A745EBFC445}" srcOrd="0" destOrd="0" parTransId="{41FBC6E8-4A91-4701-B2C5-128D77C19728}" sibTransId="{82664FCB-BE75-40EE-A0F5-3C09C190E575}"/>
    <dgm:cxn modelId="{8AECCDDE-7551-4DB7-AB6A-7F9ABEB59B37}" type="presOf" srcId="{25CD4324-A654-4807-8D3C-7A86626A5B92}" destId="{C42E08BA-7A10-4DBC-B19D-16E78ABBF67D}" srcOrd="0" destOrd="0" presId="urn:microsoft.com/office/officeart/2008/layout/NameandTitleOrganizationalChart"/>
    <dgm:cxn modelId="{B71D5EDF-5821-421E-BBBF-DB4EF5E21CB8}" type="presOf" srcId="{AA693B59-B72B-4197-9415-5C2BAD9CDA97}" destId="{AAA33040-B15D-497C-992E-8C286F8AFD8F}" srcOrd="0" destOrd="0" presId="urn:microsoft.com/office/officeart/2008/layout/NameandTitleOrganizationalChart"/>
    <dgm:cxn modelId="{0E178AE6-CDCF-4EA7-9F3C-3379AB51BF66}" type="presOf" srcId="{25CD4324-A654-4807-8D3C-7A86626A5B92}" destId="{5B493D6E-35FE-440F-9B78-7A00F21ACBC1}" srcOrd="1" destOrd="0" presId="urn:microsoft.com/office/officeart/2008/layout/NameandTitleOrganizationalChart"/>
    <dgm:cxn modelId="{3C42F4EC-EC1A-4425-BDDB-B2C698839692}" type="presOf" srcId="{F30E1C3F-8D35-4059-8327-76FE9FA20651}" destId="{BE2B48F9-75A2-4663-9672-37DEBCF73FFF}" srcOrd="0" destOrd="0" presId="urn:microsoft.com/office/officeart/2008/layout/NameandTitleOrganizationalChart"/>
    <dgm:cxn modelId="{1E2512F9-9CEC-42F9-BA5B-0A3F5A284DC7}" srcId="{F7B95EA7-BA23-4BFC-AB31-774DF22F3643}" destId="{48F8A3FE-8832-40B3-BBC8-7E3EE89B9496}" srcOrd="1" destOrd="0" parTransId="{8B2C006D-60B4-47A1-9395-C1510FFB8D46}" sibTransId="{57E93A29-8D61-4871-A94E-11B81016F56C}"/>
    <dgm:cxn modelId="{F38954FF-EDB8-4D11-96FB-7B2260E158D0}" type="presOf" srcId="{C1634D3E-8B21-44B5-B149-A53278F5BAD8}" destId="{23A2BA66-1B29-4C38-8D21-CB1CBE5B043A}" srcOrd="0" destOrd="0" presId="urn:microsoft.com/office/officeart/2008/layout/NameandTitleOrganizationalChart"/>
    <dgm:cxn modelId="{FF998E34-751A-4411-8AEE-0896C8C867F5}" type="presParOf" srcId="{4DEC4A75-704F-4A9E-AB45-28334A18FCD1}" destId="{59C81D5C-1528-412B-AD8E-FFE67B06088C}" srcOrd="0" destOrd="0" presId="urn:microsoft.com/office/officeart/2008/layout/NameandTitleOrganizationalChart"/>
    <dgm:cxn modelId="{12EF7A96-43CC-4B03-9BE1-3595D7AA6873}" type="presParOf" srcId="{59C81D5C-1528-412B-AD8E-FFE67B06088C}" destId="{66987F06-B194-4F19-A5F5-37ACFD80A38B}" srcOrd="0" destOrd="0" presId="urn:microsoft.com/office/officeart/2008/layout/NameandTitleOrganizationalChart"/>
    <dgm:cxn modelId="{83BBFB1A-758A-4B69-A98A-0C91C3BBF344}" type="presParOf" srcId="{66987F06-B194-4F19-A5F5-37ACFD80A38B}" destId="{4406D4C4-F0A4-4EB8-B5C0-DF69816D26F1}" srcOrd="0" destOrd="0" presId="urn:microsoft.com/office/officeart/2008/layout/NameandTitleOrganizationalChart"/>
    <dgm:cxn modelId="{B2793663-C523-4E04-86DB-2DA4672656E9}" type="presParOf" srcId="{66987F06-B194-4F19-A5F5-37ACFD80A38B}" destId="{3C59C864-9B14-4B3B-88B6-D4A7A788528F}" srcOrd="1" destOrd="0" presId="urn:microsoft.com/office/officeart/2008/layout/NameandTitleOrganizationalChart"/>
    <dgm:cxn modelId="{AD1190ED-3578-4787-8D66-324B5B0B707B}" type="presParOf" srcId="{66987F06-B194-4F19-A5F5-37ACFD80A38B}" destId="{5ED3AC68-A92D-450C-98C3-C7D183035CDC}" srcOrd="2" destOrd="0" presId="urn:microsoft.com/office/officeart/2008/layout/NameandTitleOrganizationalChart"/>
    <dgm:cxn modelId="{94D0B309-65E4-45AB-8D7F-281C2B6B8B06}" type="presParOf" srcId="{59C81D5C-1528-412B-AD8E-FFE67B06088C}" destId="{6E1880D6-21A0-4534-9BB0-4C7FA81F5AC0}" srcOrd="1" destOrd="0" presId="urn:microsoft.com/office/officeart/2008/layout/NameandTitleOrganizationalChart"/>
    <dgm:cxn modelId="{9AA77BFC-6C59-43EC-9809-684F1D1EF865}" type="presParOf" srcId="{59C81D5C-1528-412B-AD8E-FFE67B06088C}" destId="{7677C300-CB96-482C-97B1-F35636375632}" srcOrd="2" destOrd="0" presId="urn:microsoft.com/office/officeart/2008/layout/NameandTitleOrganizationalChart"/>
    <dgm:cxn modelId="{68E599BE-1D57-40EF-894A-ED91E97E65B1}" type="presParOf" srcId="{7677C300-CB96-482C-97B1-F35636375632}" destId="{94159250-7BBD-4989-AB6A-1CB2BA384D1F}" srcOrd="0" destOrd="0" presId="urn:microsoft.com/office/officeart/2008/layout/NameandTitleOrganizationalChart"/>
    <dgm:cxn modelId="{56B763BD-E8A8-4103-A83A-792505D069D0}" type="presParOf" srcId="{7677C300-CB96-482C-97B1-F35636375632}" destId="{313B717C-EE95-4886-B51B-209D6F36FB86}" srcOrd="1" destOrd="0" presId="urn:microsoft.com/office/officeart/2008/layout/NameandTitleOrganizationalChart"/>
    <dgm:cxn modelId="{69DA2CA4-B948-4AD8-8501-D449CF4E8900}" type="presParOf" srcId="{313B717C-EE95-4886-B51B-209D6F36FB86}" destId="{36778E07-7E0F-42E6-9122-13E6CFD7AFAF}" srcOrd="0" destOrd="0" presId="urn:microsoft.com/office/officeart/2008/layout/NameandTitleOrganizationalChart"/>
    <dgm:cxn modelId="{C214B2A6-6A9B-4FDB-BAAE-D7B2F7EE7732}" type="presParOf" srcId="{36778E07-7E0F-42E6-9122-13E6CFD7AFAF}" destId="{D82F491E-5F0C-4C6C-8A2C-7183335B8FBD}" srcOrd="0" destOrd="0" presId="urn:microsoft.com/office/officeart/2008/layout/NameandTitleOrganizationalChart"/>
    <dgm:cxn modelId="{F6A0CA00-6269-4510-A110-1068196727E6}" type="presParOf" srcId="{36778E07-7E0F-42E6-9122-13E6CFD7AFAF}" destId="{B8A6459B-86F1-47F5-B729-7CCFD5086CB2}" srcOrd="1" destOrd="0" presId="urn:microsoft.com/office/officeart/2008/layout/NameandTitleOrganizationalChart"/>
    <dgm:cxn modelId="{BBA53D6D-DD30-446F-BC8E-C2E4236E6777}" type="presParOf" srcId="{36778E07-7E0F-42E6-9122-13E6CFD7AFAF}" destId="{11DA45E9-3ABE-4D04-900D-8C63DFA6FDAA}" srcOrd="2" destOrd="0" presId="urn:microsoft.com/office/officeart/2008/layout/NameandTitleOrganizationalChart"/>
    <dgm:cxn modelId="{B5133F71-F568-434B-B4BB-D32005EA16BA}" type="presParOf" srcId="{313B717C-EE95-4886-B51B-209D6F36FB86}" destId="{5D1C1B60-3AE2-49D7-AD90-843B8A8D743B}" srcOrd="1" destOrd="0" presId="urn:microsoft.com/office/officeart/2008/layout/NameandTitleOrganizationalChart"/>
    <dgm:cxn modelId="{27CC90F1-9A49-4121-A653-ED3724EBBB74}" type="presParOf" srcId="{5D1C1B60-3AE2-49D7-AD90-843B8A8D743B}" destId="{9AAD17EA-2F8E-4A61-8069-F030FA9C805F}" srcOrd="0" destOrd="0" presId="urn:microsoft.com/office/officeart/2008/layout/NameandTitleOrganizationalChart"/>
    <dgm:cxn modelId="{D0561523-AC47-4FDF-9764-49DD82D8ABBA}" type="presParOf" srcId="{5D1C1B60-3AE2-49D7-AD90-843B8A8D743B}" destId="{17A49412-BCD3-4ED3-AB9B-A4FE00E9DFA4}" srcOrd="1" destOrd="0" presId="urn:microsoft.com/office/officeart/2008/layout/NameandTitleOrganizationalChart"/>
    <dgm:cxn modelId="{C323BFAB-BC89-4F04-ACE7-1A0375AE4632}" type="presParOf" srcId="{17A49412-BCD3-4ED3-AB9B-A4FE00E9DFA4}" destId="{E7C71BCD-D21C-44BC-A576-D2978C391506}" srcOrd="0" destOrd="0" presId="urn:microsoft.com/office/officeart/2008/layout/NameandTitleOrganizationalChart"/>
    <dgm:cxn modelId="{753208AA-6A0C-4992-8A48-1666D0932EA5}" type="presParOf" srcId="{E7C71BCD-D21C-44BC-A576-D2978C391506}" destId="{11E6ED15-8522-4B21-8079-5ECACE4BE035}" srcOrd="0" destOrd="0" presId="urn:microsoft.com/office/officeart/2008/layout/NameandTitleOrganizationalChart"/>
    <dgm:cxn modelId="{AA98B7EA-FB0C-4516-96AB-B54291AD6A31}" type="presParOf" srcId="{E7C71BCD-D21C-44BC-A576-D2978C391506}" destId="{225F2CEA-E07F-4170-B27C-B7C19CBCA53D}" srcOrd="1" destOrd="0" presId="urn:microsoft.com/office/officeart/2008/layout/NameandTitleOrganizationalChart"/>
    <dgm:cxn modelId="{CDD0D15E-40DF-40F5-92F9-E1196A854D0D}" type="presParOf" srcId="{E7C71BCD-D21C-44BC-A576-D2978C391506}" destId="{9A15155D-7BD5-4366-9EA2-219B6ABE9AFF}" srcOrd="2" destOrd="0" presId="urn:microsoft.com/office/officeart/2008/layout/NameandTitleOrganizationalChart"/>
    <dgm:cxn modelId="{8DF18C04-2C14-4190-9254-443F019729DE}" type="presParOf" srcId="{17A49412-BCD3-4ED3-AB9B-A4FE00E9DFA4}" destId="{FEF0D49A-9AA7-4B7C-A698-B40A7E6D4D2C}" srcOrd="1" destOrd="0" presId="urn:microsoft.com/office/officeart/2008/layout/NameandTitleOrganizationalChart"/>
    <dgm:cxn modelId="{FE682E49-F7A0-4541-B161-A26A3FAEEFE3}" type="presParOf" srcId="{FEF0D49A-9AA7-4B7C-A698-B40A7E6D4D2C}" destId="{F498F8C2-E822-41BD-816A-645B6DE71075}" srcOrd="0" destOrd="0" presId="urn:microsoft.com/office/officeart/2008/layout/NameandTitleOrganizationalChart"/>
    <dgm:cxn modelId="{DD6D165E-CAB7-473C-8D87-83B7ABD6E26C}" type="presParOf" srcId="{FEF0D49A-9AA7-4B7C-A698-B40A7E6D4D2C}" destId="{ABAD90C7-EA5C-4CD5-86A2-E66729114616}" srcOrd="1" destOrd="0" presId="urn:microsoft.com/office/officeart/2008/layout/NameandTitleOrganizationalChart"/>
    <dgm:cxn modelId="{2802C157-1CFC-431C-8C6E-81D7A0C8BAD4}" type="presParOf" srcId="{ABAD90C7-EA5C-4CD5-86A2-E66729114616}" destId="{C28A37CD-33DE-4EC3-B148-B9B9189FA3B8}" srcOrd="0" destOrd="0" presId="urn:microsoft.com/office/officeart/2008/layout/NameandTitleOrganizationalChart"/>
    <dgm:cxn modelId="{712A3631-DBF6-4D89-B4AC-996A3F8715C4}" type="presParOf" srcId="{C28A37CD-33DE-4EC3-B148-B9B9189FA3B8}" destId="{E607153E-9E0D-4429-8023-B96746487D1F}" srcOrd="0" destOrd="0" presId="urn:microsoft.com/office/officeart/2008/layout/NameandTitleOrganizationalChart"/>
    <dgm:cxn modelId="{0CB55E35-B7F7-4CFF-98FB-8ED7F1FC1AEE}" type="presParOf" srcId="{C28A37CD-33DE-4EC3-B148-B9B9189FA3B8}" destId="{23A2BA66-1B29-4C38-8D21-CB1CBE5B043A}" srcOrd="1" destOrd="0" presId="urn:microsoft.com/office/officeart/2008/layout/NameandTitleOrganizationalChart"/>
    <dgm:cxn modelId="{3D0769D2-D3AC-4124-99F2-DCCE3838BE0D}" type="presParOf" srcId="{C28A37CD-33DE-4EC3-B148-B9B9189FA3B8}" destId="{1470EECD-FBBA-4B67-86AF-6FA6418AF8FD}" srcOrd="2" destOrd="0" presId="urn:microsoft.com/office/officeart/2008/layout/NameandTitleOrganizationalChart"/>
    <dgm:cxn modelId="{47C56C1A-87C5-45A0-84DA-5358213FBA52}" type="presParOf" srcId="{ABAD90C7-EA5C-4CD5-86A2-E66729114616}" destId="{6708F42B-D45B-4D42-838F-FBE25C99AD42}" srcOrd="1" destOrd="0" presId="urn:microsoft.com/office/officeart/2008/layout/NameandTitleOrganizationalChart"/>
    <dgm:cxn modelId="{2523AB2F-EF34-4F84-AA98-6D47604AECE0}" type="presParOf" srcId="{ABAD90C7-EA5C-4CD5-86A2-E66729114616}" destId="{DCBC400A-9DB2-4866-B613-15612BF47DAC}" srcOrd="2" destOrd="0" presId="urn:microsoft.com/office/officeart/2008/layout/NameandTitleOrganizationalChart"/>
    <dgm:cxn modelId="{3D5241A2-0D64-4DBD-8B8A-6C7D202B95B7}" type="presParOf" srcId="{FEF0D49A-9AA7-4B7C-A698-B40A7E6D4D2C}" destId="{2FF92E4F-3EB6-4F62-93D0-0745A672687A}" srcOrd="2" destOrd="0" presId="urn:microsoft.com/office/officeart/2008/layout/NameandTitleOrganizationalChart"/>
    <dgm:cxn modelId="{0407FE6D-7BD2-4FDB-9AAD-40C970DED2D4}" type="presParOf" srcId="{FEF0D49A-9AA7-4B7C-A698-B40A7E6D4D2C}" destId="{7150D3C8-8082-4840-95A7-F99AAA3E7193}" srcOrd="3" destOrd="0" presId="urn:microsoft.com/office/officeart/2008/layout/NameandTitleOrganizationalChart"/>
    <dgm:cxn modelId="{109FD21E-1244-472A-ACD6-9A12B11EDDD7}" type="presParOf" srcId="{7150D3C8-8082-4840-95A7-F99AAA3E7193}" destId="{CF2F7B22-9333-4147-A103-ED3BE9593D32}" srcOrd="0" destOrd="0" presId="urn:microsoft.com/office/officeart/2008/layout/NameandTitleOrganizationalChart"/>
    <dgm:cxn modelId="{C46BC5BA-DD04-44B0-9C05-B802784C1450}" type="presParOf" srcId="{CF2F7B22-9333-4147-A103-ED3BE9593D32}" destId="{654CD322-AFA8-40DD-A899-4E766024CFEF}" srcOrd="0" destOrd="0" presId="urn:microsoft.com/office/officeart/2008/layout/NameandTitleOrganizationalChart"/>
    <dgm:cxn modelId="{D248F670-2EA7-4CB0-95C7-E4530ACD54E9}" type="presParOf" srcId="{CF2F7B22-9333-4147-A103-ED3BE9593D32}" destId="{3EA747E5-109D-40A4-BDB3-EA695577420A}" srcOrd="1" destOrd="0" presId="urn:microsoft.com/office/officeart/2008/layout/NameandTitleOrganizationalChart"/>
    <dgm:cxn modelId="{20A5D049-CCC7-4225-A7C0-927F5BEF2BBC}" type="presParOf" srcId="{CF2F7B22-9333-4147-A103-ED3BE9593D32}" destId="{EB0A43A6-0425-49F6-9805-6381CED8EA47}" srcOrd="2" destOrd="0" presId="urn:microsoft.com/office/officeart/2008/layout/NameandTitleOrganizationalChart"/>
    <dgm:cxn modelId="{A95F49B0-3F70-4674-991D-EFF9C7025A7D}" type="presParOf" srcId="{7150D3C8-8082-4840-95A7-F99AAA3E7193}" destId="{D697C9C5-F684-48F5-A29C-3F17D94DFC16}" srcOrd="1" destOrd="0" presId="urn:microsoft.com/office/officeart/2008/layout/NameandTitleOrganizationalChart"/>
    <dgm:cxn modelId="{843013F2-584D-4C40-976A-B9A19A487A12}" type="presParOf" srcId="{7150D3C8-8082-4840-95A7-F99AAA3E7193}" destId="{BC5C531E-8FC2-4FDE-91E4-EEE5DDEF9C42}" srcOrd="2" destOrd="0" presId="urn:microsoft.com/office/officeart/2008/layout/NameandTitleOrganizationalChart"/>
    <dgm:cxn modelId="{B4E90E8E-A183-4429-8C94-14712F087F51}" type="presParOf" srcId="{17A49412-BCD3-4ED3-AB9B-A4FE00E9DFA4}" destId="{BF2B6B0A-BFCD-4D58-AE86-880259042867}" srcOrd="2" destOrd="0" presId="urn:microsoft.com/office/officeart/2008/layout/NameandTitleOrganizationalChart"/>
    <dgm:cxn modelId="{455BE7E7-676C-4E29-9796-B4909496E376}" type="presParOf" srcId="{5D1C1B60-3AE2-49D7-AD90-843B8A8D743B}" destId="{71536745-FE7D-4690-895C-08331AC1F7D9}" srcOrd="2" destOrd="0" presId="urn:microsoft.com/office/officeart/2008/layout/NameandTitleOrganizationalChart"/>
    <dgm:cxn modelId="{CF8B283D-A4E9-4314-B7C5-9429FD65FA56}" type="presParOf" srcId="{5D1C1B60-3AE2-49D7-AD90-843B8A8D743B}" destId="{ADB70EB1-4366-499E-8926-00AE54470C81}" srcOrd="3" destOrd="0" presId="urn:microsoft.com/office/officeart/2008/layout/NameandTitleOrganizationalChart"/>
    <dgm:cxn modelId="{5A31397B-4CDD-46FB-8541-A3B196652417}" type="presParOf" srcId="{ADB70EB1-4366-499E-8926-00AE54470C81}" destId="{1DF8FFB0-7C05-4F73-BEFB-D177322AC316}" srcOrd="0" destOrd="0" presId="urn:microsoft.com/office/officeart/2008/layout/NameandTitleOrganizationalChart"/>
    <dgm:cxn modelId="{AFEE4BF7-2140-494E-BA80-4C8F908104F9}" type="presParOf" srcId="{1DF8FFB0-7C05-4F73-BEFB-D177322AC316}" destId="{AAA33040-B15D-497C-992E-8C286F8AFD8F}" srcOrd="0" destOrd="0" presId="urn:microsoft.com/office/officeart/2008/layout/NameandTitleOrganizationalChart"/>
    <dgm:cxn modelId="{D197388C-CD2A-4C18-A2F0-5A16EEE37FB5}" type="presParOf" srcId="{1DF8FFB0-7C05-4F73-BEFB-D177322AC316}" destId="{0189B060-811A-4D63-A186-183462241834}" srcOrd="1" destOrd="0" presId="urn:microsoft.com/office/officeart/2008/layout/NameandTitleOrganizationalChart"/>
    <dgm:cxn modelId="{ECCBB2E0-BBC7-4C19-884A-068D1AFCA819}" type="presParOf" srcId="{1DF8FFB0-7C05-4F73-BEFB-D177322AC316}" destId="{FE4DEF67-D2B6-4338-B50E-047523B493AE}" srcOrd="2" destOrd="0" presId="urn:microsoft.com/office/officeart/2008/layout/NameandTitleOrganizationalChart"/>
    <dgm:cxn modelId="{77F0F688-3040-4026-803B-73E75D0930B7}" type="presParOf" srcId="{ADB70EB1-4366-499E-8926-00AE54470C81}" destId="{5375CDA2-A649-4F02-8AAC-3367252422FE}" srcOrd="1" destOrd="0" presId="urn:microsoft.com/office/officeart/2008/layout/NameandTitleOrganizationalChart"/>
    <dgm:cxn modelId="{F2F6157D-E875-484E-8260-464C4203F460}" type="presParOf" srcId="{ADB70EB1-4366-499E-8926-00AE54470C81}" destId="{3B7050E4-C988-49FD-A5C4-B6ED72DDCFB3}" srcOrd="2" destOrd="0" presId="urn:microsoft.com/office/officeart/2008/layout/NameandTitleOrganizationalChart"/>
    <dgm:cxn modelId="{E023EBC7-90AC-449F-823C-DA74F635CB78}" type="presParOf" srcId="{313B717C-EE95-4886-B51B-209D6F36FB86}" destId="{0F215945-2B71-463C-A0C7-481F067B48F8}" srcOrd="2" destOrd="0" presId="urn:microsoft.com/office/officeart/2008/layout/NameandTitleOrganizationalChart"/>
    <dgm:cxn modelId="{2BC30BA1-4923-475D-B970-42D91C088B7E}" type="presParOf" srcId="{7677C300-CB96-482C-97B1-F35636375632}" destId="{BE2B48F9-75A2-4663-9672-37DEBCF73FFF}" srcOrd="2" destOrd="0" presId="urn:microsoft.com/office/officeart/2008/layout/NameandTitleOrganizationalChart"/>
    <dgm:cxn modelId="{81B8936F-A804-4E22-8091-ACF7B5CAE99A}" type="presParOf" srcId="{7677C300-CB96-482C-97B1-F35636375632}" destId="{67C09044-65A8-4F31-90FC-3DF15E226092}" srcOrd="3" destOrd="0" presId="urn:microsoft.com/office/officeart/2008/layout/NameandTitleOrganizationalChart"/>
    <dgm:cxn modelId="{971EF1A5-5768-479E-9750-1F343B66DCBE}" type="presParOf" srcId="{67C09044-65A8-4F31-90FC-3DF15E226092}" destId="{F7FE178B-6C08-4C5A-9014-D31061C0D5FD}" srcOrd="0" destOrd="0" presId="urn:microsoft.com/office/officeart/2008/layout/NameandTitleOrganizationalChart"/>
    <dgm:cxn modelId="{26005099-4C0F-4B60-847C-8A3F9898D7F4}" type="presParOf" srcId="{F7FE178B-6C08-4C5A-9014-D31061C0D5FD}" destId="{5EA3FB49-B6F3-4FA0-98B7-795DE9994733}" srcOrd="0" destOrd="0" presId="urn:microsoft.com/office/officeart/2008/layout/NameandTitleOrganizationalChart"/>
    <dgm:cxn modelId="{21993082-0E49-4CD6-9DFD-C66B716B7C0E}" type="presParOf" srcId="{F7FE178B-6C08-4C5A-9014-D31061C0D5FD}" destId="{3F1CE866-9C19-4D1F-87A6-59657C9D3B1E}" srcOrd="1" destOrd="0" presId="urn:microsoft.com/office/officeart/2008/layout/NameandTitleOrganizationalChart"/>
    <dgm:cxn modelId="{6715B95B-DCDB-42AA-9F3C-C27EBE109727}" type="presParOf" srcId="{F7FE178B-6C08-4C5A-9014-D31061C0D5FD}" destId="{2A3DA5CD-15AE-40F2-BB91-91F568E87EB7}" srcOrd="2" destOrd="0" presId="urn:microsoft.com/office/officeart/2008/layout/NameandTitleOrganizationalChart"/>
    <dgm:cxn modelId="{44483832-0ACB-44E8-A890-5C07605C6C7C}" type="presParOf" srcId="{67C09044-65A8-4F31-90FC-3DF15E226092}" destId="{09FDF511-C678-49C5-83A7-A9965EC63662}" srcOrd="1" destOrd="0" presId="urn:microsoft.com/office/officeart/2008/layout/NameandTitleOrganizationalChart"/>
    <dgm:cxn modelId="{A8B83ADB-5D06-4D4D-B0E0-05E1056743F1}" type="presParOf" srcId="{09FDF511-C678-49C5-83A7-A9965EC63662}" destId="{0FEC3E01-D3BF-4512-AE0B-5E069AA1DA4C}" srcOrd="0" destOrd="0" presId="urn:microsoft.com/office/officeart/2008/layout/NameandTitleOrganizationalChart"/>
    <dgm:cxn modelId="{166AF5E2-4751-4088-B327-A9C1C8AA10CF}" type="presParOf" srcId="{09FDF511-C678-49C5-83A7-A9965EC63662}" destId="{32B3C710-E1E6-4BE3-811E-617C40E2AB38}" srcOrd="1" destOrd="0" presId="urn:microsoft.com/office/officeart/2008/layout/NameandTitleOrganizationalChart"/>
    <dgm:cxn modelId="{807EFD7A-4C61-4C88-9BB3-5FECF1A376BF}" type="presParOf" srcId="{32B3C710-E1E6-4BE3-811E-617C40E2AB38}" destId="{A4B0605E-67C5-4400-B742-E45BA0B5AD75}" srcOrd="0" destOrd="0" presId="urn:microsoft.com/office/officeart/2008/layout/NameandTitleOrganizationalChart"/>
    <dgm:cxn modelId="{662644AA-12C4-494E-B8F8-B42338628465}" type="presParOf" srcId="{A4B0605E-67C5-4400-B742-E45BA0B5AD75}" destId="{425ECDA1-FF32-4E34-B9CA-8301B5EF97F5}" srcOrd="0" destOrd="0" presId="urn:microsoft.com/office/officeart/2008/layout/NameandTitleOrganizationalChart"/>
    <dgm:cxn modelId="{116F2582-FF90-47FE-B2E5-562881D48117}" type="presParOf" srcId="{A4B0605E-67C5-4400-B742-E45BA0B5AD75}" destId="{D47E54AD-0288-4854-B15F-2A7543AC1A59}" srcOrd="1" destOrd="0" presId="urn:microsoft.com/office/officeart/2008/layout/NameandTitleOrganizationalChart"/>
    <dgm:cxn modelId="{23A052E6-E383-4C63-8C88-09519EDBA16D}" type="presParOf" srcId="{A4B0605E-67C5-4400-B742-E45BA0B5AD75}" destId="{829C501A-AF1C-4252-982C-C6716C329E82}" srcOrd="2" destOrd="0" presId="urn:microsoft.com/office/officeart/2008/layout/NameandTitleOrganizationalChart"/>
    <dgm:cxn modelId="{572B29E5-1651-45DB-920C-73893F6B360E}" type="presParOf" srcId="{32B3C710-E1E6-4BE3-811E-617C40E2AB38}" destId="{CD53EE08-AFE2-4EDE-914C-3083D70E2FFA}" srcOrd="1" destOrd="0" presId="urn:microsoft.com/office/officeart/2008/layout/NameandTitleOrganizationalChart"/>
    <dgm:cxn modelId="{F93CEA62-3123-47D9-B9F7-398679EEE110}" type="presParOf" srcId="{CD53EE08-AFE2-4EDE-914C-3083D70E2FFA}" destId="{D9A6C850-46B9-49F0-BD25-D44FDDF8793B}" srcOrd="0" destOrd="0" presId="urn:microsoft.com/office/officeart/2008/layout/NameandTitleOrganizationalChart"/>
    <dgm:cxn modelId="{1584EAFA-5CA2-4C17-B5EB-20C0302BE254}" type="presParOf" srcId="{CD53EE08-AFE2-4EDE-914C-3083D70E2FFA}" destId="{1DB54663-5596-4AF8-9ACC-90CFC6267DF3}" srcOrd="1" destOrd="0" presId="urn:microsoft.com/office/officeart/2008/layout/NameandTitleOrganizationalChart"/>
    <dgm:cxn modelId="{09F9F13B-59F2-4503-A016-D6D471C49FFA}" type="presParOf" srcId="{1DB54663-5596-4AF8-9ACC-90CFC6267DF3}" destId="{E30AACBD-8CBB-4668-A610-9BC59CA6E070}" srcOrd="0" destOrd="0" presId="urn:microsoft.com/office/officeart/2008/layout/NameandTitleOrganizationalChart"/>
    <dgm:cxn modelId="{03BD5132-2F9F-4182-87E3-290036EF72B7}" type="presParOf" srcId="{E30AACBD-8CBB-4668-A610-9BC59CA6E070}" destId="{C42E08BA-7A10-4DBC-B19D-16E78ABBF67D}" srcOrd="0" destOrd="0" presId="urn:microsoft.com/office/officeart/2008/layout/NameandTitleOrganizationalChart"/>
    <dgm:cxn modelId="{9F3A83F6-EDFB-432A-8FAB-5B937B7C2CFB}" type="presParOf" srcId="{E30AACBD-8CBB-4668-A610-9BC59CA6E070}" destId="{356A3C42-5037-47A7-88C5-416F3FE5F0CB}" srcOrd="1" destOrd="0" presId="urn:microsoft.com/office/officeart/2008/layout/NameandTitleOrganizationalChart"/>
    <dgm:cxn modelId="{ABE2A72A-4859-4492-AD01-8C0D6153ADE4}" type="presParOf" srcId="{E30AACBD-8CBB-4668-A610-9BC59CA6E070}" destId="{5B493D6E-35FE-440F-9B78-7A00F21ACBC1}" srcOrd="2" destOrd="0" presId="urn:microsoft.com/office/officeart/2008/layout/NameandTitleOrganizationalChart"/>
    <dgm:cxn modelId="{55C6B72C-5235-44DC-8753-01F6769361A3}" type="presParOf" srcId="{1DB54663-5596-4AF8-9ACC-90CFC6267DF3}" destId="{E7A7F69B-70E0-4721-93E1-6B2DB1FA6495}" srcOrd="1" destOrd="0" presId="urn:microsoft.com/office/officeart/2008/layout/NameandTitleOrganizationalChart"/>
    <dgm:cxn modelId="{A29D6A60-7E76-466B-BEFB-3FF24D469968}" type="presParOf" srcId="{1DB54663-5596-4AF8-9ACC-90CFC6267DF3}" destId="{9D3A2AE2-115B-478F-9203-D68759275DD2}" srcOrd="2" destOrd="0" presId="urn:microsoft.com/office/officeart/2008/layout/NameandTitleOrganizationalChart"/>
    <dgm:cxn modelId="{F198370D-493D-43AC-A5AC-EBC6A5591231}" type="presParOf" srcId="{32B3C710-E1E6-4BE3-811E-617C40E2AB38}" destId="{E7B11FBF-105F-4DD5-919F-15BE71AA87E8}" srcOrd="2" destOrd="0" presId="urn:microsoft.com/office/officeart/2008/layout/NameandTitleOrganizationalChart"/>
    <dgm:cxn modelId="{8966046B-E4B4-42C3-9CD0-1F6A6FB9FA21}" type="presParOf" srcId="{67C09044-65A8-4F31-90FC-3DF15E226092}" destId="{9B510C1E-85CF-478B-9A60-43146A4980B0}" srcOrd="2" destOrd="0" presId="urn:microsoft.com/office/officeart/2008/layout/NameandTitleOrganizationalChar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9A6C850-46B9-49F0-BD25-D44FDDF8793B}">
      <dsp:nvSpPr>
        <dsp:cNvPr id="0" name=""/>
        <dsp:cNvSpPr/>
      </dsp:nvSpPr>
      <dsp:spPr>
        <a:xfrm>
          <a:off x="11925189" y="4800778"/>
          <a:ext cx="2068780" cy="91110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601831"/>
              </a:lnTo>
              <a:lnTo>
                <a:pt x="2068780" y="601831"/>
              </a:lnTo>
              <a:lnTo>
                <a:pt x="2068780" y="911102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FEC3E01-D3BF-4512-AE0B-5E069AA1DA4C}">
      <dsp:nvSpPr>
        <dsp:cNvPr id="0" name=""/>
        <dsp:cNvSpPr/>
      </dsp:nvSpPr>
      <dsp:spPr>
        <a:xfrm>
          <a:off x="11876704" y="2929254"/>
          <a:ext cx="91440" cy="875686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566414"/>
              </a:lnTo>
              <a:lnTo>
                <a:pt x="48484" y="566414"/>
              </a:lnTo>
              <a:lnTo>
                <a:pt x="48484" y="875686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E2B48F9-75A2-4663-9672-37DEBCF73FFF}">
      <dsp:nvSpPr>
        <dsp:cNvPr id="0" name=""/>
        <dsp:cNvSpPr/>
      </dsp:nvSpPr>
      <dsp:spPr>
        <a:xfrm>
          <a:off x="10189241" y="995837"/>
          <a:ext cx="771496" cy="1435498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435498"/>
              </a:lnTo>
              <a:lnTo>
                <a:pt x="771496" y="1435498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1536745-FE7D-4690-895C-08331AC1F7D9}">
      <dsp:nvSpPr>
        <dsp:cNvPr id="0" name=""/>
        <dsp:cNvSpPr/>
      </dsp:nvSpPr>
      <dsp:spPr>
        <a:xfrm>
          <a:off x="7518649" y="2929254"/>
          <a:ext cx="1255718" cy="87568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66414"/>
              </a:lnTo>
              <a:lnTo>
                <a:pt x="1255718" y="566414"/>
              </a:lnTo>
              <a:lnTo>
                <a:pt x="1255718" y="875686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FF92E4F-3EB6-4F62-93D0-0745A672687A}">
      <dsp:nvSpPr>
        <dsp:cNvPr id="0" name=""/>
        <dsp:cNvSpPr/>
      </dsp:nvSpPr>
      <dsp:spPr>
        <a:xfrm>
          <a:off x="5944621" y="4800778"/>
          <a:ext cx="1414873" cy="87568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66414"/>
              </a:lnTo>
              <a:lnTo>
                <a:pt x="1414873" y="566414"/>
              </a:lnTo>
              <a:lnTo>
                <a:pt x="1414873" y="875686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498F8C2-E822-41BD-816A-645B6DE71075}">
      <dsp:nvSpPr>
        <dsp:cNvPr id="0" name=""/>
        <dsp:cNvSpPr/>
      </dsp:nvSpPr>
      <dsp:spPr>
        <a:xfrm>
          <a:off x="4529748" y="4800778"/>
          <a:ext cx="1414873" cy="875686"/>
        </a:xfrm>
        <a:custGeom>
          <a:avLst/>
          <a:gdLst/>
          <a:ahLst/>
          <a:cxnLst/>
          <a:rect l="0" t="0" r="0" b="0"/>
          <a:pathLst>
            <a:path>
              <a:moveTo>
                <a:pt x="1414873" y="0"/>
              </a:moveTo>
              <a:lnTo>
                <a:pt x="1414873" y="566414"/>
              </a:lnTo>
              <a:lnTo>
                <a:pt x="0" y="566414"/>
              </a:lnTo>
              <a:lnTo>
                <a:pt x="0" y="875686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AAD17EA-2F8E-4A61-8069-F030FA9C805F}">
      <dsp:nvSpPr>
        <dsp:cNvPr id="0" name=""/>
        <dsp:cNvSpPr/>
      </dsp:nvSpPr>
      <dsp:spPr>
        <a:xfrm>
          <a:off x="5944621" y="2929254"/>
          <a:ext cx="1574028" cy="875686"/>
        </a:xfrm>
        <a:custGeom>
          <a:avLst/>
          <a:gdLst/>
          <a:ahLst/>
          <a:cxnLst/>
          <a:rect l="0" t="0" r="0" b="0"/>
          <a:pathLst>
            <a:path>
              <a:moveTo>
                <a:pt x="1574028" y="0"/>
              </a:moveTo>
              <a:lnTo>
                <a:pt x="1574028" y="566414"/>
              </a:lnTo>
              <a:lnTo>
                <a:pt x="0" y="566414"/>
              </a:lnTo>
              <a:lnTo>
                <a:pt x="0" y="875686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4159250-7BBD-4989-AB6A-1CB2BA384D1F}">
      <dsp:nvSpPr>
        <dsp:cNvPr id="0" name=""/>
        <dsp:cNvSpPr/>
      </dsp:nvSpPr>
      <dsp:spPr>
        <a:xfrm>
          <a:off x="8480336" y="995837"/>
          <a:ext cx="1708905" cy="1435498"/>
        </a:xfrm>
        <a:custGeom>
          <a:avLst/>
          <a:gdLst/>
          <a:ahLst/>
          <a:cxnLst/>
          <a:rect l="0" t="0" r="0" b="0"/>
          <a:pathLst>
            <a:path>
              <a:moveTo>
                <a:pt x="1708905" y="0"/>
              </a:moveTo>
              <a:lnTo>
                <a:pt x="1708905" y="1435498"/>
              </a:lnTo>
              <a:lnTo>
                <a:pt x="0" y="1435498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406D4C4-F0A4-4EB8-B5C0-DF69816D26F1}">
      <dsp:nvSpPr>
        <dsp:cNvPr id="0" name=""/>
        <dsp:cNvSpPr/>
      </dsp:nvSpPr>
      <dsp:spPr>
        <a:xfrm>
          <a:off x="9227555" y="0"/>
          <a:ext cx="1923373" cy="995837"/>
        </a:xfrm>
        <a:prstGeom prst="flowChartAlternateProcess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87036" numCol="1" spcCol="1270" anchor="ctr" anchorCtr="0">
          <a:noAutofit/>
        </a:bodyPr>
        <a:lstStyle/>
        <a:p>
          <a:pPr marL="0" lvl="0" indent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2800" kern="1200"/>
            <a:t>Project Lead</a:t>
          </a:r>
        </a:p>
      </dsp:txBody>
      <dsp:txXfrm>
        <a:off x="9276167" y="48612"/>
        <a:ext cx="1826149" cy="898613"/>
      </dsp:txXfrm>
    </dsp:sp>
    <dsp:sp modelId="{3C59C864-9B14-4B3B-88B6-D4A7A788528F}">
      <dsp:nvSpPr>
        <dsp:cNvPr id="0" name=""/>
        <dsp:cNvSpPr/>
      </dsp:nvSpPr>
      <dsp:spPr>
        <a:xfrm>
          <a:off x="9707425" y="818130"/>
          <a:ext cx="1731035" cy="331945"/>
        </a:xfrm>
        <a:prstGeom prst="rect">
          <a:avLst/>
        </a:prstGeom>
        <a:solidFill>
          <a:schemeClr val="lt2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9525" rIns="38100" bIns="9525" numCol="1" spcCol="1270" anchor="ctr" anchorCtr="0">
          <a:noAutofit/>
        </a:bodyPr>
        <a:lstStyle/>
        <a:p>
          <a:pPr marL="0" lvl="0" indent="0" algn="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500" kern="1200" baseline="0"/>
            <a:t>Clark Kent</a:t>
          </a:r>
        </a:p>
      </dsp:txBody>
      <dsp:txXfrm>
        <a:off x="9707425" y="818130"/>
        <a:ext cx="1731035" cy="331945"/>
      </dsp:txXfrm>
    </dsp:sp>
    <dsp:sp modelId="{D82F491E-5F0C-4C6C-8A2C-7183335B8FBD}">
      <dsp:nvSpPr>
        <dsp:cNvPr id="0" name=""/>
        <dsp:cNvSpPr/>
      </dsp:nvSpPr>
      <dsp:spPr>
        <a:xfrm>
          <a:off x="6556963" y="1933417"/>
          <a:ext cx="1923373" cy="995837"/>
        </a:xfrm>
        <a:prstGeom prst="flowChartAlternateProcess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87036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2400" kern="1200"/>
            <a:t>IT Manager</a:t>
          </a:r>
        </a:p>
      </dsp:txBody>
      <dsp:txXfrm>
        <a:off x="6605575" y="1982029"/>
        <a:ext cx="1826149" cy="898613"/>
      </dsp:txXfrm>
    </dsp:sp>
    <dsp:sp modelId="{B8A6459B-86F1-47F5-B729-7CCFD5086CB2}">
      <dsp:nvSpPr>
        <dsp:cNvPr id="0" name=""/>
        <dsp:cNvSpPr/>
      </dsp:nvSpPr>
      <dsp:spPr>
        <a:xfrm>
          <a:off x="7036833" y="2854460"/>
          <a:ext cx="1731035" cy="331945"/>
        </a:xfrm>
        <a:prstGeom prst="rect">
          <a:avLst/>
        </a:prstGeom>
        <a:solidFill>
          <a:schemeClr val="lt2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9525" rIns="38100" bIns="9525" numCol="1" spcCol="1270" anchor="ctr" anchorCtr="0">
          <a:noAutofit/>
        </a:bodyPr>
        <a:lstStyle/>
        <a:p>
          <a:pPr marL="0" lvl="0" indent="0" algn="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500" kern="1200" baseline="0"/>
            <a:t>Lois Lane</a:t>
          </a:r>
        </a:p>
      </dsp:txBody>
      <dsp:txXfrm>
        <a:off x="7036833" y="2854460"/>
        <a:ext cx="1731035" cy="331945"/>
      </dsp:txXfrm>
    </dsp:sp>
    <dsp:sp modelId="{11E6ED15-8522-4B21-8079-5ECACE4BE035}">
      <dsp:nvSpPr>
        <dsp:cNvPr id="0" name=""/>
        <dsp:cNvSpPr/>
      </dsp:nvSpPr>
      <dsp:spPr>
        <a:xfrm>
          <a:off x="4982935" y="3804941"/>
          <a:ext cx="1923373" cy="995837"/>
        </a:xfrm>
        <a:prstGeom prst="flowChartAlternateProcess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87036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2400" kern="1200"/>
            <a:t>Infrastructure Manager</a:t>
          </a:r>
        </a:p>
      </dsp:txBody>
      <dsp:txXfrm>
        <a:off x="5031547" y="3853553"/>
        <a:ext cx="1826149" cy="898613"/>
      </dsp:txXfrm>
    </dsp:sp>
    <dsp:sp modelId="{225F2CEA-E07F-4170-B27C-B7C19CBCA53D}">
      <dsp:nvSpPr>
        <dsp:cNvPr id="0" name=""/>
        <dsp:cNvSpPr/>
      </dsp:nvSpPr>
      <dsp:spPr>
        <a:xfrm>
          <a:off x="5462805" y="4725985"/>
          <a:ext cx="1731035" cy="331945"/>
        </a:xfrm>
        <a:prstGeom prst="rect">
          <a:avLst/>
        </a:prstGeom>
        <a:solidFill>
          <a:schemeClr val="lt2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9525" rIns="38100" bIns="9525" numCol="1" spcCol="1270" anchor="ctr" anchorCtr="0">
          <a:noAutofit/>
        </a:bodyPr>
        <a:lstStyle/>
        <a:p>
          <a:pPr marL="0" lvl="0" indent="0" algn="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500" kern="1200"/>
            <a:t>Bruce Wayn</a:t>
          </a:r>
        </a:p>
      </dsp:txBody>
      <dsp:txXfrm>
        <a:off x="5462805" y="4725985"/>
        <a:ext cx="1731035" cy="331945"/>
      </dsp:txXfrm>
    </dsp:sp>
    <dsp:sp modelId="{E607153E-9E0D-4429-8023-B96746487D1F}">
      <dsp:nvSpPr>
        <dsp:cNvPr id="0" name=""/>
        <dsp:cNvSpPr/>
      </dsp:nvSpPr>
      <dsp:spPr>
        <a:xfrm>
          <a:off x="3568062" y="5676465"/>
          <a:ext cx="1923373" cy="995837"/>
        </a:xfrm>
        <a:prstGeom prst="flowChartAlternateProcess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87036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2400" kern="1200"/>
            <a:t>DBA</a:t>
          </a:r>
        </a:p>
      </dsp:txBody>
      <dsp:txXfrm>
        <a:off x="3616674" y="5725077"/>
        <a:ext cx="1826149" cy="898613"/>
      </dsp:txXfrm>
    </dsp:sp>
    <dsp:sp modelId="{23A2BA66-1B29-4C38-8D21-CB1CBE5B043A}">
      <dsp:nvSpPr>
        <dsp:cNvPr id="0" name=""/>
        <dsp:cNvSpPr/>
      </dsp:nvSpPr>
      <dsp:spPr>
        <a:xfrm>
          <a:off x="4047932" y="6597509"/>
          <a:ext cx="1731035" cy="331945"/>
        </a:xfrm>
        <a:prstGeom prst="rect">
          <a:avLst/>
        </a:prstGeom>
        <a:solidFill>
          <a:schemeClr val="lt2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9525" rIns="38100" bIns="9525" numCol="1" spcCol="1270" anchor="ctr" anchorCtr="0">
          <a:noAutofit/>
        </a:bodyPr>
        <a:lstStyle/>
        <a:p>
          <a:pPr marL="0" lvl="0" indent="0" algn="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500" kern="1200" baseline="0"/>
            <a:t>Ethan Hunt</a:t>
          </a:r>
        </a:p>
      </dsp:txBody>
      <dsp:txXfrm>
        <a:off x="4047932" y="6597509"/>
        <a:ext cx="1731035" cy="331945"/>
      </dsp:txXfrm>
    </dsp:sp>
    <dsp:sp modelId="{654CD322-AFA8-40DD-A899-4E766024CFEF}">
      <dsp:nvSpPr>
        <dsp:cNvPr id="0" name=""/>
        <dsp:cNvSpPr/>
      </dsp:nvSpPr>
      <dsp:spPr>
        <a:xfrm>
          <a:off x="6397808" y="5676465"/>
          <a:ext cx="1923373" cy="995837"/>
        </a:xfrm>
        <a:prstGeom prst="flowChartAlternateProcess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87036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2400" kern="1200"/>
            <a:t>DBA</a:t>
          </a:r>
        </a:p>
      </dsp:txBody>
      <dsp:txXfrm>
        <a:off x="6446420" y="5725077"/>
        <a:ext cx="1826149" cy="898613"/>
      </dsp:txXfrm>
    </dsp:sp>
    <dsp:sp modelId="{3EA747E5-109D-40A4-BDB3-EA695577420A}">
      <dsp:nvSpPr>
        <dsp:cNvPr id="0" name=""/>
        <dsp:cNvSpPr/>
      </dsp:nvSpPr>
      <dsp:spPr>
        <a:xfrm>
          <a:off x="6877679" y="6597509"/>
          <a:ext cx="1731035" cy="331945"/>
        </a:xfrm>
        <a:prstGeom prst="rect">
          <a:avLst/>
        </a:prstGeom>
        <a:solidFill>
          <a:schemeClr val="lt2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9525" rIns="38100" bIns="9525" numCol="1" spcCol="1270" anchor="ctr" anchorCtr="0">
          <a:noAutofit/>
        </a:bodyPr>
        <a:lstStyle/>
        <a:p>
          <a:pPr marL="0" lvl="0" indent="0" algn="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500" kern="1200" baseline="0"/>
            <a:t>James Bond</a:t>
          </a:r>
        </a:p>
      </dsp:txBody>
      <dsp:txXfrm>
        <a:off x="6877679" y="6597509"/>
        <a:ext cx="1731035" cy="331945"/>
      </dsp:txXfrm>
    </dsp:sp>
    <dsp:sp modelId="{AAA33040-B15D-497C-992E-8C286F8AFD8F}">
      <dsp:nvSpPr>
        <dsp:cNvPr id="0" name=""/>
        <dsp:cNvSpPr/>
      </dsp:nvSpPr>
      <dsp:spPr>
        <a:xfrm>
          <a:off x="7812682" y="3804941"/>
          <a:ext cx="1923373" cy="995837"/>
        </a:xfrm>
        <a:prstGeom prst="flowChartAlternateProcess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87036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2400" kern="1200"/>
            <a:t>Systems Developer</a:t>
          </a:r>
        </a:p>
      </dsp:txBody>
      <dsp:txXfrm>
        <a:off x="7861294" y="3853553"/>
        <a:ext cx="1826149" cy="898613"/>
      </dsp:txXfrm>
    </dsp:sp>
    <dsp:sp modelId="{0189B060-811A-4D63-A186-183462241834}">
      <dsp:nvSpPr>
        <dsp:cNvPr id="0" name=""/>
        <dsp:cNvSpPr/>
      </dsp:nvSpPr>
      <dsp:spPr>
        <a:xfrm>
          <a:off x="8292552" y="4725985"/>
          <a:ext cx="1731035" cy="331945"/>
        </a:xfrm>
        <a:prstGeom prst="rect">
          <a:avLst/>
        </a:prstGeom>
        <a:solidFill>
          <a:schemeClr val="lt2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9525" rIns="38100" bIns="9525" numCol="1" spcCol="1270" anchor="ctr" anchorCtr="0">
          <a:noAutofit/>
        </a:bodyPr>
        <a:lstStyle/>
        <a:p>
          <a:pPr marL="0" lvl="0" indent="0" algn="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500" kern="1200" baseline="0"/>
            <a:t>John McClane</a:t>
          </a:r>
        </a:p>
      </dsp:txBody>
      <dsp:txXfrm>
        <a:off x="8292552" y="4725985"/>
        <a:ext cx="1731035" cy="331945"/>
      </dsp:txXfrm>
    </dsp:sp>
    <dsp:sp modelId="{5EA3FB49-B6F3-4FA0-98B7-795DE9994733}">
      <dsp:nvSpPr>
        <dsp:cNvPr id="0" name=""/>
        <dsp:cNvSpPr/>
      </dsp:nvSpPr>
      <dsp:spPr>
        <a:xfrm>
          <a:off x="10960738" y="1933417"/>
          <a:ext cx="1923373" cy="995837"/>
        </a:xfrm>
        <a:prstGeom prst="flowChartAlternateProcess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87036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2400" kern="1200"/>
            <a:t>Finance Manager</a:t>
          </a:r>
        </a:p>
      </dsp:txBody>
      <dsp:txXfrm>
        <a:off x="11009350" y="1982029"/>
        <a:ext cx="1826149" cy="898613"/>
      </dsp:txXfrm>
    </dsp:sp>
    <dsp:sp modelId="{3F1CE866-9C19-4D1F-87A6-59657C9D3B1E}">
      <dsp:nvSpPr>
        <dsp:cNvPr id="0" name=""/>
        <dsp:cNvSpPr/>
      </dsp:nvSpPr>
      <dsp:spPr>
        <a:xfrm>
          <a:off x="11440608" y="2854460"/>
          <a:ext cx="1731035" cy="331945"/>
        </a:xfrm>
        <a:prstGeom prst="rect">
          <a:avLst/>
        </a:prstGeom>
        <a:solidFill>
          <a:schemeClr val="lt2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9525" rIns="38100" bIns="9525" numCol="1" spcCol="1270" anchor="ctr" anchorCtr="0">
          <a:noAutofit/>
        </a:bodyPr>
        <a:lstStyle/>
        <a:p>
          <a:pPr marL="0" lvl="0" indent="0" algn="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500" kern="1200" baseline="0"/>
            <a:t>Lex Luther</a:t>
          </a:r>
        </a:p>
      </dsp:txBody>
      <dsp:txXfrm>
        <a:off x="11440608" y="2854460"/>
        <a:ext cx="1731035" cy="331945"/>
      </dsp:txXfrm>
    </dsp:sp>
    <dsp:sp modelId="{425ECDA1-FF32-4E34-B9CA-8301B5EF97F5}">
      <dsp:nvSpPr>
        <dsp:cNvPr id="0" name=""/>
        <dsp:cNvSpPr/>
      </dsp:nvSpPr>
      <dsp:spPr>
        <a:xfrm>
          <a:off x="10963502" y="3804941"/>
          <a:ext cx="1923373" cy="995837"/>
        </a:xfrm>
        <a:prstGeom prst="flowChartAlternateProcess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87036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2400" kern="1200"/>
            <a:t>Accountant</a:t>
          </a:r>
        </a:p>
      </dsp:txBody>
      <dsp:txXfrm>
        <a:off x="11012114" y="3853553"/>
        <a:ext cx="1826149" cy="898613"/>
      </dsp:txXfrm>
    </dsp:sp>
    <dsp:sp modelId="{D47E54AD-0288-4854-B15F-2A7543AC1A59}">
      <dsp:nvSpPr>
        <dsp:cNvPr id="0" name=""/>
        <dsp:cNvSpPr/>
      </dsp:nvSpPr>
      <dsp:spPr>
        <a:xfrm>
          <a:off x="11281453" y="4725985"/>
          <a:ext cx="1731035" cy="331945"/>
        </a:xfrm>
        <a:prstGeom prst="rect">
          <a:avLst/>
        </a:prstGeom>
        <a:solidFill>
          <a:schemeClr val="lt2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9525" rIns="38100" bIns="9525" numCol="1" spcCol="1270" anchor="ctr" anchorCtr="0">
          <a:noAutofit/>
        </a:bodyPr>
        <a:lstStyle/>
        <a:p>
          <a:pPr marL="0" lvl="0" indent="0" algn="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500" kern="1200" baseline="0"/>
            <a:t>John Rambo</a:t>
          </a:r>
        </a:p>
      </dsp:txBody>
      <dsp:txXfrm>
        <a:off x="11281453" y="4725985"/>
        <a:ext cx="1731035" cy="331945"/>
      </dsp:txXfrm>
    </dsp:sp>
    <dsp:sp modelId="{C42E08BA-7A10-4DBC-B19D-16E78ABBF67D}">
      <dsp:nvSpPr>
        <dsp:cNvPr id="0" name=""/>
        <dsp:cNvSpPr/>
      </dsp:nvSpPr>
      <dsp:spPr>
        <a:xfrm>
          <a:off x="13032283" y="5711881"/>
          <a:ext cx="1923373" cy="995837"/>
        </a:xfrm>
        <a:prstGeom prst="flowChartAlternateProcess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87036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2400" kern="1200"/>
            <a:t>Payroll Officer</a:t>
          </a:r>
        </a:p>
      </dsp:txBody>
      <dsp:txXfrm>
        <a:off x="13080895" y="5760493"/>
        <a:ext cx="1826149" cy="898613"/>
      </dsp:txXfrm>
    </dsp:sp>
    <dsp:sp modelId="{356A3C42-5037-47A7-88C5-416F3FE5F0CB}">
      <dsp:nvSpPr>
        <dsp:cNvPr id="0" name=""/>
        <dsp:cNvSpPr/>
      </dsp:nvSpPr>
      <dsp:spPr>
        <a:xfrm>
          <a:off x="13453151" y="6644717"/>
          <a:ext cx="1731035" cy="331945"/>
        </a:xfrm>
        <a:prstGeom prst="rect">
          <a:avLst/>
        </a:prstGeom>
        <a:solidFill>
          <a:schemeClr val="lt2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9525" rIns="38100" bIns="9525" numCol="1" spcCol="1270" anchor="ctr" anchorCtr="0">
          <a:noAutofit/>
        </a:bodyPr>
        <a:lstStyle/>
        <a:p>
          <a:pPr marL="0" lvl="0" indent="0" algn="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500" kern="1200" baseline="0"/>
            <a:t>Sarah Connor</a:t>
          </a:r>
        </a:p>
      </dsp:txBody>
      <dsp:txXfrm>
        <a:off x="13453151" y="6644717"/>
        <a:ext cx="1731035" cy="33194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NameandTitleOrganizationalChart">
  <dgm:title val=""/>
  <dgm:desc val=""/>
  <dgm:catLst>
    <dgm:cat type="hierarchy" pri="125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Max/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h" fact="0.4"/>
              </dgm:constrLst>
              <dgm:ruleLst>
                <dgm:rule type="primFontSz" val="5" fact="NaN" max="NaN"/>
              </dgm:ruleLst>
            </dgm:layoutNode>
            <dgm:layoutNode name="titleText1" styleLbl="fgAcc0">
              <dgm:varLst>
                <dgm:chMax val="0"/>
                <dgm:chPref val="0"/>
              </dgm:varLst>
              <dgm:alg type="tx">
                <dgm:param type="parTxLTRAlign" val="r"/>
              </dgm:alg>
              <dgm:shape xmlns:r="http://schemas.openxmlformats.org/officeDocument/2006/relationships" type="rect" r:blip="">
                <dgm:adjLst/>
              </dgm:shape>
              <dgm:presOf axis="followSib" ptType="sibTrans" hideLastTrans="0" cnt="1"/>
              <dgm:constrLst>
                <dgm:constr type="primFontSz" val="65"/>
                <dgm:constr type="lMarg" refType="primFontSz" fact="0.2"/>
                <dgm:constr type="rMarg" refType="primFontSz" fact="0.2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1" func="var" arg="hierBranch" op="equ" val="hang">
                    <dgm:layoutNode name="Name42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3">
                    <dgm:layoutNode name="Name44">
                      <dgm:choose name="Name45">
                        <dgm:if name="Name46" axis="self" func="depth" op="lte" val="2">
                          <dgm:choose name="Name47">
                            <dgm:if name="Name4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4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0">
                          <dgm:choose name="Name51">
                            <dgm:if name="Name52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3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54">
                  <dgm:if name="Name55" func="var" arg="hierBranch" op="equ" val="l">
                    <dgm:choose name="Name56">
                      <dgm:if name="Name57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58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59" func="var" arg="hierBranch" op="equ" val="r">
                    <dgm:choose name="Name60">
                      <dgm:if name="Name61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2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3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64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65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66">
                    <dgm:if name="Name67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8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9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70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 styleLbl="node1">
                    <dgm:varLst>
                      <dgm:chMax/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2" styleLbl="fgAcc1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71">
                    <dgm:if name="Name72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73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74" func="var" arg="hierBranch" op="equ" val="hang">
                      <dgm:choose name="Name75">
                        <dgm:if name="Name76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77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78" func="var" arg="hierBranch" op="equ" val="std">
                      <dgm:choose name="Name79">
                        <dgm:if name="Name80" func="var" arg="dir" op="equ" val="norm">
                          <dgm:alg type="hierChild"/>
                        </dgm:if>
                        <dgm:else name="Name81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82" func="var" arg="hierBranch" op="equ" val="init">
                      <dgm:choose name="Name83">
                        <dgm:if name="Name84" func="var" arg="dir" op="equ" val="norm">
                          <dgm:alg type="hierChild"/>
                        </dgm:if>
                        <dgm:else name="Name85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else name="Name86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87" ref="rep2a"/>
                </dgm:layoutNode>
                <dgm:layoutNode name="hierChild5">
                  <dgm:choose name="Name88">
                    <dgm:if name="Name89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90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91" ref="rep2b"/>
                </dgm:layoutNode>
              </dgm:layoutNode>
            </dgm:forEach>
          </dgm:layoutNode>
          <dgm:layoutNode name="hierChild3">
            <dgm:choose name="Name92">
              <dgm:if name="Name93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94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95" axis="precedSib" ptType="parTrans" st="-1" cnt="1">
                <dgm:layoutNode name="Name96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97">
                  <dgm:if name="Name98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99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0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1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02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103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04">
                    <dgm:if name="Name105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6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7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08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 styleLbl="asst1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3" styleLbl="fgAcc2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09">
                    <dgm:if name="Name110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11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12" func="var" arg="hierBranch" op="equ" val="hang">
                      <dgm:choose name="Name113">
                        <dgm:if name="Name114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15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16" func="var" arg="hierBranch" op="equ" val="std">
                      <dgm:choose name="Name117">
                        <dgm:if name="Name118" func="var" arg="dir" op="equ" val="norm">
                          <dgm:alg type="hierChild"/>
                        </dgm:if>
                        <dgm:else name="Name119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20" func="var" arg="hierBranch" op="equ" val="init">
                      <dgm:alg type="hierChild"/>
                    </dgm:if>
                    <dgm:else name="Name12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2" ref="rep2a"/>
                </dgm:layoutNode>
                <dgm:layoutNode name="hierChild7">
                  <dgm:choose name="Name123">
                    <dgm:if name="Name12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2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6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9525</xdr:rowOff>
        </xdr:from>
        <xdr:to>
          <xdr:col>1</xdr:col>
          <xdr:colOff>1438275</xdr:colOff>
          <xdr:row>18</xdr:row>
          <xdr:rowOff>180975</xdr:rowOff>
        </xdr:to>
        <xdr:sp macro="" textlink="">
          <xdr:nvSpPr>
            <xdr:cNvPr id="1026" name="TaskComb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137582</xdr:colOff>
      <xdr:row>1</xdr:row>
      <xdr:rowOff>21167</xdr:rowOff>
    </xdr:from>
    <xdr:to>
      <xdr:col>3</xdr:col>
      <xdr:colOff>1164166</xdr:colOff>
      <xdr:row>17</xdr:row>
      <xdr:rowOff>179917</xdr:rowOff>
    </xdr:to>
    <xdr:graphicFrame macro="">
      <xdr:nvGraphicFramePr>
        <xdr:cNvPr id="6" name="DaysPi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1354667</xdr:colOff>
      <xdr:row>1</xdr:row>
      <xdr:rowOff>10583</xdr:rowOff>
    </xdr:from>
    <xdr:to>
      <xdr:col>13</xdr:col>
      <xdr:colOff>550333</xdr:colOff>
      <xdr:row>18</xdr:row>
      <xdr:rowOff>10583</xdr:rowOff>
    </xdr:to>
    <xdr:graphicFrame macro="">
      <xdr:nvGraphicFramePr>
        <xdr:cNvPr id="7" name="TaskChar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</xdr:row>
          <xdr:rowOff>95250</xdr:rowOff>
        </xdr:from>
        <xdr:to>
          <xdr:col>1</xdr:col>
          <xdr:colOff>1162050</xdr:colOff>
          <xdr:row>1</xdr:row>
          <xdr:rowOff>333375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Re-Number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9524</xdr:rowOff>
    </xdr:from>
    <xdr:to>
      <xdr:col>36</xdr:col>
      <xdr:colOff>500062</xdr:colOff>
      <xdr:row>37</xdr:row>
      <xdr:rowOff>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2:G85" totalsRowShown="0" headerRowDxfId="4">
  <autoFilter ref="A2:G85" xr:uid="{00000000-0009-0000-0100-000003000000}"/>
  <tableColumns count="7">
    <tableColumn id="1" xr3:uid="{00000000-0010-0000-0000-000001000000}" name="Reference Number" dataDxfId="3"/>
    <tableColumn id="2" xr3:uid="{00000000-0010-0000-0000-000002000000}" name="Task" dataDxfId="2"/>
    <tableColumn id="3" xr3:uid="{00000000-0010-0000-0000-000003000000}" name="Scheduled Start Date"/>
    <tableColumn id="4" xr3:uid="{00000000-0010-0000-0000-000004000000}" name="Scheduled Completion Date"/>
    <tableColumn id="5" xr3:uid="{00000000-0010-0000-0000-000005000000}" name="Percentage Complete" dataDxfId="1"/>
    <tableColumn id="7" xr3:uid="{00000000-0010-0000-0000-000007000000}" name="Overdue" dataDxfId="0">
      <calculatedColumnFormula>IF(E3&lt;100%,IF(AND(TRIM(D3)&gt;"",TRIM(C3) &gt;""),IF(AND(E3&lt;100,NOW()&gt;D3),"YES, BY "&amp; TRUNC(NOW()-D3,0) &amp; " DAYS.","NO" ),""),"")</calculatedColumnFormula>
    </tableColumn>
    <tableColumn id="6" xr3:uid="{00000000-0010-0000-0000-000006000000}" name="Task Contact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18"/>
  <sheetViews>
    <sheetView tabSelected="1" zoomScale="115" zoomScaleNormal="115" workbookViewId="0">
      <selection activeCell="A26" sqref="A26"/>
    </sheetView>
  </sheetViews>
  <sheetFormatPr defaultRowHeight="15" x14ac:dyDescent="0.25"/>
  <cols>
    <col min="1" max="1" width="31" bestFit="1" customWidth="1"/>
    <col min="2" max="2" width="22.42578125" customWidth="1"/>
    <col min="3" max="3" width="31" bestFit="1" customWidth="1"/>
    <col min="4" max="4" width="21.42578125" bestFit="1" customWidth="1"/>
  </cols>
  <sheetData>
    <row r="4" spans="1:2" x14ac:dyDescent="0.25">
      <c r="A4" s="11" t="s">
        <v>68</v>
      </c>
      <c r="B4" s="11"/>
    </row>
    <row r="5" spans="1:2" x14ac:dyDescent="0.25">
      <c r="A5" s="11"/>
      <c r="B5" s="11"/>
    </row>
    <row r="6" spans="1:2" x14ac:dyDescent="0.25">
      <c r="A6" s="11"/>
      <c r="B6" s="11"/>
    </row>
    <row r="7" spans="1:2" x14ac:dyDescent="0.25">
      <c r="A7" s="11"/>
      <c r="B7" s="11"/>
    </row>
    <row r="8" spans="1:2" x14ac:dyDescent="0.25">
      <c r="A8" s="11"/>
      <c r="B8" s="11"/>
    </row>
    <row r="9" spans="1:2" x14ac:dyDescent="0.25">
      <c r="A9" s="11"/>
      <c r="B9" s="11"/>
    </row>
    <row r="12" spans="1:2" x14ac:dyDescent="0.25">
      <c r="A12" t="s">
        <v>1</v>
      </c>
      <c r="B12" s="2" t="s">
        <v>2</v>
      </c>
    </row>
    <row r="13" spans="1:2" x14ac:dyDescent="0.25">
      <c r="A13" t="s">
        <v>3</v>
      </c>
      <c r="B13" s="1">
        <v>42736</v>
      </c>
    </row>
    <row r="14" spans="1:2" x14ac:dyDescent="0.25">
      <c r="A14" t="s">
        <v>4</v>
      </c>
      <c r="B14" s="1">
        <v>43647</v>
      </c>
    </row>
    <row r="15" spans="1:2" x14ac:dyDescent="0.25">
      <c r="A15" t="s">
        <v>15</v>
      </c>
      <c r="B15">
        <f>B14-B13</f>
        <v>911</v>
      </c>
    </row>
    <row r="16" spans="1:2" x14ac:dyDescent="0.25">
      <c r="A16" t="s">
        <v>65</v>
      </c>
      <c r="B16">
        <f ca="1">B15-B17</f>
        <v>2767</v>
      </c>
    </row>
    <row r="17" spans="1:2" x14ac:dyDescent="0.25">
      <c r="A17" t="s">
        <v>5</v>
      </c>
      <c r="B17">
        <f ca="1">TRUNC(B14-NOW())</f>
        <v>-1856</v>
      </c>
    </row>
    <row r="18" spans="1:2" x14ac:dyDescent="0.25">
      <c r="A18" t="s">
        <v>67</v>
      </c>
    </row>
  </sheetData>
  <mergeCells count="1">
    <mergeCell ref="A4:B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askCombo">
          <controlPr defaultSize="0" autoLine="0" autoPict="0" r:id="rId5">
            <anchor moveWithCells="1">
              <from>
                <xdr:col>1</xdr:col>
                <xdr:colOff>0</xdr:colOff>
                <xdr:row>17</xdr:row>
                <xdr:rowOff>9525</xdr:rowOff>
              </from>
              <to>
                <xdr:col>1</xdr:col>
                <xdr:colOff>1438275</xdr:colOff>
                <xdr:row>18</xdr:row>
                <xdr:rowOff>180975</xdr:rowOff>
              </to>
            </anchor>
          </controlPr>
        </control>
      </mc:Choice>
      <mc:Fallback>
        <control shapeId="1026" r:id="rId4" name="Task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85"/>
  <sheetViews>
    <sheetView workbookViewId="0">
      <selection activeCell="B6" sqref="B6"/>
    </sheetView>
  </sheetViews>
  <sheetFormatPr defaultRowHeight="15" x14ac:dyDescent="0.25"/>
  <cols>
    <col min="1" max="1" width="24.7109375" customWidth="1"/>
    <col min="2" max="2" width="53.7109375" bestFit="1" customWidth="1"/>
    <col min="3" max="3" width="21.5703125" customWidth="1"/>
    <col min="4" max="4" width="27.85546875" customWidth="1"/>
    <col min="5" max="6" width="22.28515625" customWidth="1"/>
    <col min="7" max="7" width="14.140625" customWidth="1"/>
    <col min="8" max="8" width="12" bestFit="1" customWidth="1"/>
  </cols>
  <sheetData>
    <row r="1" spans="1:14" ht="28.5" x14ac:dyDescent="0.45">
      <c r="A1" s="10" t="s">
        <v>7</v>
      </c>
      <c r="B1" s="10"/>
      <c r="C1" s="10"/>
      <c r="D1" s="10"/>
      <c r="E1" s="10"/>
      <c r="F1" s="10"/>
      <c r="G1" s="10"/>
      <c r="H1" s="9"/>
      <c r="I1" s="9"/>
      <c r="J1" s="9"/>
      <c r="K1" s="9"/>
      <c r="L1" s="9"/>
      <c r="M1" s="9"/>
      <c r="N1" s="9"/>
    </row>
    <row r="2" spans="1:14" ht="28.5" x14ac:dyDescent="0.45">
      <c r="A2" s="6" t="s">
        <v>14</v>
      </c>
      <c r="B2" s="6" t="s">
        <v>0</v>
      </c>
      <c r="C2" s="3" t="s">
        <v>20</v>
      </c>
      <c r="D2" s="3" t="s">
        <v>21</v>
      </c>
      <c r="E2" s="3" t="s">
        <v>64</v>
      </c>
      <c r="F2" s="3" t="s">
        <v>66</v>
      </c>
      <c r="G2" s="3" t="s">
        <v>22</v>
      </c>
      <c r="I2" s="4"/>
      <c r="J2" s="4"/>
      <c r="K2" s="4"/>
      <c r="L2" s="4"/>
      <c r="M2" s="4"/>
      <c r="N2" s="4"/>
    </row>
    <row r="3" spans="1:14" x14ac:dyDescent="0.25">
      <c r="A3" s="3">
        <v>1</v>
      </c>
      <c r="B3" s="3" t="s">
        <v>6</v>
      </c>
      <c r="C3" s="1">
        <v>42826</v>
      </c>
      <c r="D3" s="1">
        <v>42840</v>
      </c>
      <c r="E3" s="8">
        <f>SUM(E4:E11)/8</f>
        <v>0.4375</v>
      </c>
      <c r="F3" s="8" t="str">
        <f t="shared" ref="F3:F34" ca="1" si="0">IF(E3&lt;100%,IF(AND(TRIM(D3)&gt;"",TRIM(C3) &gt;""),IF(AND(E3&lt;100,NOW()&gt;D3),"YES, BY "&amp; TRUNC(NOW()-D3,0) &amp; " DAYS.","NO" ),""),"")</f>
        <v>YES, BY 2663 DAYS.</v>
      </c>
    </row>
    <row r="4" spans="1:14" x14ac:dyDescent="0.25">
      <c r="A4">
        <v>1.1000000000000001</v>
      </c>
      <c r="B4" t="s">
        <v>8</v>
      </c>
      <c r="C4" s="1">
        <v>42826</v>
      </c>
      <c r="D4" s="1">
        <v>42840</v>
      </c>
      <c r="E4" s="7">
        <v>0.5</v>
      </c>
      <c r="F4" s="7" t="str">
        <f t="shared" ca="1" si="0"/>
        <v>YES, BY 2663 DAYS.</v>
      </c>
    </row>
    <row r="5" spans="1:14" x14ac:dyDescent="0.25">
      <c r="A5">
        <v>1.2</v>
      </c>
      <c r="B5" t="s">
        <v>9</v>
      </c>
      <c r="C5" s="1"/>
      <c r="D5" s="1"/>
      <c r="E5" s="7">
        <v>1</v>
      </c>
      <c r="F5" s="7" t="str">
        <f t="shared" ca="1" si="0"/>
        <v/>
      </c>
    </row>
    <row r="6" spans="1:14" x14ac:dyDescent="0.25">
      <c r="A6">
        <v>1.3</v>
      </c>
      <c r="B6" t="s">
        <v>10</v>
      </c>
      <c r="C6" s="1"/>
      <c r="D6" s="1"/>
      <c r="E6" s="7">
        <v>1</v>
      </c>
      <c r="F6" s="7" t="str">
        <f t="shared" ca="1" si="0"/>
        <v/>
      </c>
    </row>
    <row r="7" spans="1:14" x14ac:dyDescent="0.25">
      <c r="A7">
        <v>1.4</v>
      </c>
      <c r="B7" t="s">
        <v>11</v>
      </c>
      <c r="C7" s="1"/>
      <c r="D7" s="1"/>
      <c r="E7" s="7">
        <v>1</v>
      </c>
      <c r="F7" s="8" t="str">
        <f t="shared" ca="1" si="0"/>
        <v/>
      </c>
    </row>
    <row r="8" spans="1:14" x14ac:dyDescent="0.25">
      <c r="A8">
        <v>1.5</v>
      </c>
      <c r="B8" t="s">
        <v>12</v>
      </c>
      <c r="C8" s="1"/>
      <c r="D8" s="1"/>
      <c r="E8" s="7">
        <v>0</v>
      </c>
      <c r="F8" s="7" t="str">
        <f t="shared" ca="1" si="0"/>
        <v/>
      </c>
    </row>
    <row r="9" spans="1:14" x14ac:dyDescent="0.25">
      <c r="A9">
        <v>1.6</v>
      </c>
      <c r="B9" t="s">
        <v>13</v>
      </c>
      <c r="C9" s="1"/>
      <c r="D9" s="1"/>
      <c r="E9" s="7">
        <v>0</v>
      </c>
      <c r="F9" s="7" t="str">
        <f t="shared" ca="1" si="0"/>
        <v/>
      </c>
    </row>
    <row r="10" spans="1:14" x14ac:dyDescent="0.25">
      <c r="A10">
        <v>1.7</v>
      </c>
      <c r="B10" t="s">
        <v>19</v>
      </c>
      <c r="C10" s="1"/>
      <c r="D10" s="1"/>
      <c r="E10" s="7">
        <v>0</v>
      </c>
      <c r="F10" s="7" t="str">
        <f t="shared" ca="1" si="0"/>
        <v/>
      </c>
    </row>
    <row r="11" spans="1:14" x14ac:dyDescent="0.25">
      <c r="A11">
        <v>1.8</v>
      </c>
      <c r="B11" t="s">
        <v>26</v>
      </c>
      <c r="C11" s="1"/>
      <c r="D11" s="1"/>
      <c r="E11" s="7">
        <v>0</v>
      </c>
      <c r="F11" s="7" t="str">
        <f t="shared" ca="1" si="0"/>
        <v/>
      </c>
    </row>
    <row r="12" spans="1:14" x14ac:dyDescent="0.25">
      <c r="A12" s="3">
        <v>2</v>
      </c>
      <c r="B12" s="3" t="s">
        <v>16</v>
      </c>
      <c r="C12" s="1"/>
      <c r="D12" s="1"/>
      <c r="E12" s="8">
        <f>SUM(E13:E16)/4</f>
        <v>1</v>
      </c>
      <c r="F12" s="8" t="str">
        <f t="shared" ca="1" si="0"/>
        <v/>
      </c>
    </row>
    <row r="13" spans="1:14" x14ac:dyDescent="0.25">
      <c r="A13">
        <v>2.1</v>
      </c>
      <c r="B13" t="s">
        <v>17</v>
      </c>
      <c r="C13" s="1"/>
      <c r="D13" s="1"/>
      <c r="E13" s="7">
        <v>1</v>
      </c>
      <c r="F13" s="7" t="str">
        <f t="shared" ca="1" si="0"/>
        <v/>
      </c>
    </row>
    <row r="14" spans="1:14" x14ac:dyDescent="0.25">
      <c r="A14">
        <v>2.2000000000000002</v>
      </c>
      <c r="B14" t="s">
        <v>18</v>
      </c>
      <c r="C14" s="1"/>
      <c r="D14" s="1"/>
      <c r="E14" s="7">
        <v>1</v>
      </c>
      <c r="F14" s="7" t="str">
        <f t="shared" ca="1" si="0"/>
        <v/>
      </c>
    </row>
    <row r="15" spans="1:14" x14ac:dyDescent="0.25">
      <c r="A15">
        <v>2.2999999999999998</v>
      </c>
      <c r="B15" t="s">
        <v>23</v>
      </c>
      <c r="C15" s="1"/>
      <c r="D15" s="1"/>
      <c r="E15" s="7">
        <v>1</v>
      </c>
      <c r="F15" s="7" t="str">
        <f t="shared" ca="1" si="0"/>
        <v/>
      </c>
    </row>
    <row r="16" spans="1:14" x14ac:dyDescent="0.25">
      <c r="A16">
        <v>2.4</v>
      </c>
      <c r="B16" t="s">
        <v>24</v>
      </c>
      <c r="C16" s="1"/>
      <c r="D16" s="1"/>
      <c r="E16" s="7">
        <v>1</v>
      </c>
      <c r="F16" s="7" t="str">
        <f t="shared" ca="1" si="0"/>
        <v/>
      </c>
    </row>
    <row r="17" spans="1:6" x14ac:dyDescent="0.25">
      <c r="A17" s="3">
        <v>3</v>
      </c>
      <c r="B17" s="3" t="s">
        <v>25</v>
      </c>
      <c r="C17" s="1"/>
      <c r="D17" s="1"/>
      <c r="E17" s="8">
        <f>SUM(E18:E21)/4</f>
        <v>1</v>
      </c>
      <c r="F17" s="8" t="str">
        <f t="shared" ca="1" si="0"/>
        <v/>
      </c>
    </row>
    <row r="18" spans="1:6" x14ac:dyDescent="0.25">
      <c r="A18">
        <v>3.1</v>
      </c>
      <c r="B18" t="s">
        <v>17</v>
      </c>
      <c r="C18" s="1"/>
      <c r="D18" s="1"/>
      <c r="E18" s="7">
        <v>1</v>
      </c>
      <c r="F18" s="7" t="str">
        <f t="shared" ca="1" si="0"/>
        <v/>
      </c>
    </row>
    <row r="19" spans="1:6" x14ac:dyDescent="0.25">
      <c r="A19">
        <v>3.2</v>
      </c>
      <c r="B19" t="s">
        <v>18</v>
      </c>
      <c r="C19" s="1"/>
      <c r="D19" s="1"/>
      <c r="E19" s="7">
        <v>1</v>
      </c>
      <c r="F19" s="7" t="str">
        <f t="shared" ca="1" si="0"/>
        <v/>
      </c>
    </row>
    <row r="20" spans="1:6" x14ac:dyDescent="0.25">
      <c r="A20">
        <v>3.3</v>
      </c>
      <c r="B20" t="s">
        <v>23</v>
      </c>
      <c r="C20" s="1"/>
      <c r="D20" s="1"/>
      <c r="E20" s="7">
        <v>1</v>
      </c>
      <c r="F20" s="7" t="str">
        <f t="shared" ca="1" si="0"/>
        <v/>
      </c>
    </row>
    <row r="21" spans="1:6" x14ac:dyDescent="0.25">
      <c r="A21">
        <v>3.4</v>
      </c>
      <c r="B21" t="s">
        <v>24</v>
      </c>
      <c r="C21" s="1"/>
      <c r="D21" s="1"/>
      <c r="E21" s="7">
        <v>1</v>
      </c>
      <c r="F21" s="7" t="str">
        <f t="shared" ca="1" si="0"/>
        <v/>
      </c>
    </row>
    <row r="22" spans="1:6" x14ac:dyDescent="0.25">
      <c r="A22" s="3">
        <v>4</v>
      </c>
      <c r="B22" s="3" t="s">
        <v>27</v>
      </c>
      <c r="C22" s="1"/>
      <c r="D22" s="1"/>
      <c r="E22" s="8">
        <f>SUM(E23:E31)/9</f>
        <v>1</v>
      </c>
      <c r="F22" s="8" t="str">
        <f t="shared" ca="1" si="0"/>
        <v/>
      </c>
    </row>
    <row r="23" spans="1:6" x14ac:dyDescent="0.25">
      <c r="A23">
        <v>4.0999999999999996</v>
      </c>
      <c r="B23" t="s">
        <v>26</v>
      </c>
      <c r="C23" s="1"/>
      <c r="D23" s="1"/>
      <c r="E23" s="7">
        <v>1</v>
      </c>
      <c r="F23" s="7" t="str">
        <f t="shared" ca="1" si="0"/>
        <v/>
      </c>
    </row>
    <row r="24" spans="1:6" x14ac:dyDescent="0.25">
      <c r="A24">
        <v>4.2</v>
      </c>
      <c r="B24" t="s">
        <v>13</v>
      </c>
      <c r="C24" s="1"/>
      <c r="D24" s="1"/>
      <c r="E24" s="7">
        <v>1</v>
      </c>
      <c r="F24" s="7" t="str">
        <f t="shared" ca="1" si="0"/>
        <v/>
      </c>
    </row>
    <row r="25" spans="1:6" x14ac:dyDescent="0.25">
      <c r="A25">
        <v>4.3</v>
      </c>
      <c r="B25" t="s">
        <v>19</v>
      </c>
      <c r="C25" s="1"/>
      <c r="D25" s="1"/>
      <c r="E25" s="7">
        <v>1</v>
      </c>
      <c r="F25" s="7" t="str">
        <f t="shared" ca="1" si="0"/>
        <v/>
      </c>
    </row>
    <row r="26" spans="1:6" x14ac:dyDescent="0.25">
      <c r="A26">
        <v>4.4000000000000004</v>
      </c>
      <c r="B26" t="s">
        <v>31</v>
      </c>
      <c r="C26" s="1"/>
      <c r="D26" s="1"/>
      <c r="E26" s="7">
        <v>1</v>
      </c>
      <c r="F26" s="7" t="str">
        <f t="shared" ca="1" si="0"/>
        <v/>
      </c>
    </row>
    <row r="27" spans="1:6" x14ac:dyDescent="0.25">
      <c r="A27">
        <v>4.5</v>
      </c>
      <c r="B27" t="s">
        <v>32</v>
      </c>
      <c r="C27" s="1"/>
      <c r="D27" s="1"/>
      <c r="E27" s="7">
        <v>1</v>
      </c>
      <c r="F27" s="7" t="str">
        <f t="shared" ca="1" si="0"/>
        <v/>
      </c>
    </row>
    <row r="28" spans="1:6" x14ac:dyDescent="0.25">
      <c r="A28">
        <v>4.5999999999999996</v>
      </c>
      <c r="B28" t="s">
        <v>28</v>
      </c>
      <c r="C28" s="1"/>
      <c r="D28" s="1"/>
      <c r="E28" s="7">
        <v>1</v>
      </c>
      <c r="F28" s="7" t="str">
        <f t="shared" ca="1" si="0"/>
        <v/>
      </c>
    </row>
    <row r="29" spans="1:6" x14ac:dyDescent="0.25">
      <c r="A29">
        <v>4.7</v>
      </c>
      <c r="B29" t="s">
        <v>35</v>
      </c>
      <c r="C29" s="1"/>
      <c r="D29" s="1"/>
      <c r="E29" s="7">
        <v>1</v>
      </c>
      <c r="F29" s="7" t="str">
        <f t="shared" ca="1" si="0"/>
        <v/>
      </c>
    </row>
    <row r="30" spans="1:6" x14ac:dyDescent="0.25">
      <c r="A30">
        <v>4.8</v>
      </c>
      <c r="B30" t="s">
        <v>13</v>
      </c>
      <c r="C30" s="1"/>
      <c r="D30" s="1"/>
      <c r="E30" s="7">
        <v>1</v>
      </c>
      <c r="F30" s="7" t="str">
        <f t="shared" ca="1" si="0"/>
        <v/>
      </c>
    </row>
    <row r="31" spans="1:6" x14ac:dyDescent="0.25">
      <c r="A31">
        <v>4.9000000000000004</v>
      </c>
      <c r="B31" t="s">
        <v>33</v>
      </c>
      <c r="C31" s="1"/>
      <c r="D31" s="1"/>
      <c r="E31" s="7">
        <v>1</v>
      </c>
      <c r="F31" s="7" t="str">
        <f t="shared" ca="1" si="0"/>
        <v/>
      </c>
    </row>
    <row r="32" spans="1:6" x14ac:dyDescent="0.25">
      <c r="A32" s="3">
        <v>5</v>
      </c>
      <c r="B32" s="3" t="s">
        <v>27</v>
      </c>
      <c r="C32" s="1"/>
      <c r="D32" s="1"/>
      <c r="E32" s="8">
        <f>SUM(E33:E35)/3</f>
        <v>1</v>
      </c>
      <c r="F32" s="8" t="str">
        <f t="shared" ca="1" si="0"/>
        <v/>
      </c>
    </row>
    <row r="33" spans="1:6" x14ac:dyDescent="0.25">
      <c r="A33">
        <v>5.0999999999999996</v>
      </c>
      <c r="B33" t="s">
        <v>26</v>
      </c>
      <c r="C33" s="1"/>
      <c r="D33" s="1"/>
      <c r="E33" s="7">
        <v>1</v>
      </c>
      <c r="F33" s="7" t="str">
        <f t="shared" ca="1" si="0"/>
        <v/>
      </c>
    </row>
    <row r="34" spans="1:6" x14ac:dyDescent="0.25">
      <c r="A34">
        <v>5.2</v>
      </c>
      <c r="B34" t="s">
        <v>13</v>
      </c>
      <c r="C34" s="1"/>
      <c r="D34" s="1"/>
      <c r="E34" s="7">
        <v>1</v>
      </c>
      <c r="F34" s="7" t="str">
        <f t="shared" ca="1" si="0"/>
        <v/>
      </c>
    </row>
    <row r="35" spans="1:6" x14ac:dyDescent="0.25">
      <c r="A35">
        <v>5.3</v>
      </c>
      <c r="B35" t="s">
        <v>19</v>
      </c>
      <c r="C35" s="1"/>
      <c r="D35" s="1"/>
      <c r="E35" s="7">
        <v>1</v>
      </c>
      <c r="F35" s="7" t="str">
        <f t="shared" ref="F35:F66" ca="1" si="1">IF(E35&lt;100%,IF(AND(TRIM(D35)&gt;"",TRIM(C35) &gt;""),IF(AND(E35&lt;100,NOW()&gt;D35),"YES, BY "&amp; TRUNC(NOW()-D35,0) &amp; " DAYS.","NO" ),""),"")</f>
        <v/>
      </c>
    </row>
    <row r="36" spans="1:6" x14ac:dyDescent="0.25">
      <c r="A36" s="3">
        <v>6</v>
      </c>
      <c r="B36" s="3" t="s">
        <v>29</v>
      </c>
      <c r="C36" s="1"/>
      <c r="D36" s="1"/>
      <c r="E36" s="8">
        <f>SUM(E37:E37)/1</f>
        <v>1</v>
      </c>
      <c r="F36" s="8" t="str">
        <f t="shared" ca="1" si="1"/>
        <v/>
      </c>
    </row>
    <row r="37" spans="1:6" x14ac:dyDescent="0.25">
      <c r="A37">
        <v>6.1</v>
      </c>
      <c r="B37" t="s">
        <v>32</v>
      </c>
      <c r="C37" s="1"/>
      <c r="D37" s="1"/>
      <c r="E37" s="7">
        <v>1</v>
      </c>
      <c r="F37" s="7" t="str">
        <f t="shared" ca="1" si="1"/>
        <v/>
      </c>
    </row>
    <row r="38" spans="1:6" x14ac:dyDescent="0.25">
      <c r="A38" s="3">
        <v>7</v>
      </c>
      <c r="B38" s="3" t="s">
        <v>30</v>
      </c>
      <c r="C38" s="1"/>
      <c r="D38" s="1"/>
      <c r="E38" s="8">
        <f>SUM(E39:E41)/3</f>
        <v>1</v>
      </c>
      <c r="F38" s="8" t="str">
        <f t="shared" ca="1" si="1"/>
        <v/>
      </c>
    </row>
    <row r="39" spans="1:6" x14ac:dyDescent="0.25">
      <c r="A39">
        <v>7.1</v>
      </c>
      <c r="B39" t="s">
        <v>34</v>
      </c>
      <c r="C39" s="1"/>
      <c r="D39" s="1"/>
      <c r="E39" s="7">
        <v>1</v>
      </c>
      <c r="F39" s="7" t="str">
        <f t="shared" ca="1" si="1"/>
        <v/>
      </c>
    </row>
    <row r="40" spans="1:6" x14ac:dyDescent="0.25">
      <c r="A40">
        <v>7.2</v>
      </c>
      <c r="B40" t="s">
        <v>13</v>
      </c>
      <c r="C40" s="1"/>
      <c r="D40" s="1"/>
      <c r="E40" s="7">
        <v>1</v>
      </c>
      <c r="F40" s="7" t="str">
        <f t="shared" ca="1" si="1"/>
        <v/>
      </c>
    </row>
    <row r="41" spans="1:6" x14ac:dyDescent="0.25">
      <c r="A41">
        <v>7.3</v>
      </c>
      <c r="B41" t="s">
        <v>36</v>
      </c>
      <c r="C41" s="1"/>
      <c r="D41" s="1"/>
      <c r="E41" s="7">
        <v>1</v>
      </c>
      <c r="F41" s="7" t="str">
        <f t="shared" ca="1" si="1"/>
        <v/>
      </c>
    </row>
    <row r="42" spans="1:6" x14ac:dyDescent="0.25">
      <c r="A42" s="3">
        <v>8</v>
      </c>
      <c r="B42" s="3" t="s">
        <v>37</v>
      </c>
      <c r="C42" s="1"/>
      <c r="D42" s="1"/>
      <c r="E42" s="8">
        <v>1</v>
      </c>
      <c r="F42" s="8" t="str">
        <f t="shared" ca="1" si="1"/>
        <v/>
      </c>
    </row>
    <row r="43" spans="1:6" x14ac:dyDescent="0.25">
      <c r="A43" s="3">
        <v>9</v>
      </c>
      <c r="B43" s="3" t="s">
        <v>38</v>
      </c>
      <c r="C43" s="1"/>
      <c r="D43" s="1"/>
      <c r="E43" s="8">
        <f>SUM(E44:E50)/7</f>
        <v>1</v>
      </c>
      <c r="F43" s="8" t="str">
        <f t="shared" ca="1" si="1"/>
        <v/>
      </c>
    </row>
    <row r="44" spans="1:6" x14ac:dyDescent="0.25">
      <c r="A44">
        <v>9.1</v>
      </c>
      <c r="B44" t="s">
        <v>39</v>
      </c>
      <c r="C44" s="1"/>
      <c r="D44" s="1"/>
      <c r="E44" s="7">
        <v>1</v>
      </c>
      <c r="F44" s="7" t="str">
        <f t="shared" ca="1" si="1"/>
        <v/>
      </c>
    </row>
    <row r="45" spans="1:6" x14ac:dyDescent="0.25">
      <c r="A45">
        <v>9.1999999999999993</v>
      </c>
      <c r="B45" t="s">
        <v>40</v>
      </c>
      <c r="C45" s="1"/>
      <c r="D45" s="1"/>
      <c r="E45" s="7">
        <v>1</v>
      </c>
      <c r="F45" s="7" t="str">
        <f t="shared" ca="1" si="1"/>
        <v/>
      </c>
    </row>
    <row r="46" spans="1:6" x14ac:dyDescent="0.25">
      <c r="A46">
        <v>9.3000000000000007</v>
      </c>
      <c r="B46" t="s">
        <v>54</v>
      </c>
      <c r="C46" s="1"/>
      <c r="D46" s="1"/>
      <c r="E46" s="7">
        <v>1</v>
      </c>
      <c r="F46" s="7" t="str">
        <f t="shared" ca="1" si="1"/>
        <v/>
      </c>
    </row>
    <row r="47" spans="1:6" x14ac:dyDescent="0.25">
      <c r="A47">
        <v>9.4</v>
      </c>
      <c r="B47" t="s">
        <v>42</v>
      </c>
      <c r="C47" s="1"/>
      <c r="D47" s="1"/>
      <c r="E47" s="7">
        <v>1</v>
      </c>
      <c r="F47" s="7" t="str">
        <f t="shared" ca="1" si="1"/>
        <v/>
      </c>
    </row>
    <row r="48" spans="1:6" x14ac:dyDescent="0.25">
      <c r="A48">
        <v>9.5</v>
      </c>
      <c r="B48" t="s">
        <v>41</v>
      </c>
      <c r="C48" s="1"/>
      <c r="D48" s="1"/>
      <c r="E48" s="7">
        <v>1</v>
      </c>
      <c r="F48" s="7" t="str">
        <f t="shared" ca="1" si="1"/>
        <v/>
      </c>
    </row>
    <row r="49" spans="1:6" x14ac:dyDescent="0.25">
      <c r="A49">
        <v>9.6</v>
      </c>
      <c r="B49" t="s">
        <v>43</v>
      </c>
      <c r="C49" s="1"/>
      <c r="D49" s="1"/>
      <c r="E49" s="7">
        <v>1</v>
      </c>
      <c r="F49" s="7" t="str">
        <f t="shared" ca="1" si="1"/>
        <v/>
      </c>
    </row>
    <row r="50" spans="1:6" x14ac:dyDescent="0.25">
      <c r="A50">
        <v>9.6999999999999993</v>
      </c>
      <c r="B50" t="s">
        <v>13</v>
      </c>
      <c r="C50" s="1"/>
      <c r="D50" s="1"/>
      <c r="E50" s="7">
        <v>1</v>
      </c>
      <c r="F50" s="7" t="str">
        <f t="shared" ca="1" si="1"/>
        <v/>
      </c>
    </row>
    <row r="51" spans="1:6" x14ac:dyDescent="0.25">
      <c r="A51" s="3">
        <v>10</v>
      </c>
      <c r="B51" s="3" t="s">
        <v>44</v>
      </c>
      <c r="C51" s="1"/>
      <c r="D51" s="1"/>
      <c r="E51" s="8">
        <f>SUM(E52:E55)/4</f>
        <v>1</v>
      </c>
      <c r="F51" s="8" t="str">
        <f t="shared" ca="1" si="1"/>
        <v/>
      </c>
    </row>
    <row r="52" spans="1:6" x14ac:dyDescent="0.25">
      <c r="A52">
        <v>10.1</v>
      </c>
      <c r="B52" t="s">
        <v>45</v>
      </c>
      <c r="C52" s="1"/>
      <c r="D52" s="1"/>
      <c r="E52" s="7">
        <v>1</v>
      </c>
      <c r="F52" s="7" t="str">
        <f t="shared" ca="1" si="1"/>
        <v/>
      </c>
    </row>
    <row r="53" spans="1:6" x14ac:dyDescent="0.25">
      <c r="A53">
        <v>10.199999999999999</v>
      </c>
      <c r="B53" t="s">
        <v>46</v>
      </c>
      <c r="C53" s="1"/>
      <c r="D53" s="1"/>
      <c r="E53" s="7">
        <v>1</v>
      </c>
      <c r="F53" s="7" t="str">
        <f t="shared" ca="1" si="1"/>
        <v/>
      </c>
    </row>
    <row r="54" spans="1:6" x14ac:dyDescent="0.25">
      <c r="A54">
        <v>10.3</v>
      </c>
      <c r="B54" t="s">
        <v>47</v>
      </c>
      <c r="C54" s="1"/>
      <c r="D54" s="1"/>
      <c r="E54" s="7">
        <v>1</v>
      </c>
      <c r="F54" s="7" t="str">
        <f t="shared" ca="1" si="1"/>
        <v/>
      </c>
    </row>
    <row r="55" spans="1:6" x14ac:dyDescent="0.25">
      <c r="A55">
        <v>10.4</v>
      </c>
      <c r="B55" t="s">
        <v>13</v>
      </c>
      <c r="C55" s="1"/>
      <c r="D55" s="1"/>
      <c r="E55" s="7">
        <v>1</v>
      </c>
      <c r="F55" s="7" t="str">
        <f t="shared" ca="1" si="1"/>
        <v/>
      </c>
    </row>
    <row r="56" spans="1:6" x14ac:dyDescent="0.25">
      <c r="A56" s="3">
        <v>11</v>
      </c>
      <c r="B56" s="3" t="s">
        <v>48</v>
      </c>
      <c r="C56" s="1"/>
      <c r="D56" s="1"/>
      <c r="E56" s="8">
        <f>SUM(E57:E62)/6</f>
        <v>1</v>
      </c>
      <c r="F56" s="8" t="str">
        <f t="shared" ca="1" si="1"/>
        <v/>
      </c>
    </row>
    <row r="57" spans="1:6" x14ac:dyDescent="0.25">
      <c r="A57">
        <v>11.1</v>
      </c>
      <c r="B57" t="s">
        <v>49</v>
      </c>
      <c r="C57" s="1"/>
      <c r="D57" s="1"/>
      <c r="E57" s="7">
        <v>1</v>
      </c>
      <c r="F57" s="7" t="str">
        <f t="shared" ca="1" si="1"/>
        <v/>
      </c>
    </row>
    <row r="58" spans="1:6" x14ac:dyDescent="0.25">
      <c r="A58">
        <v>11.2</v>
      </c>
      <c r="B58" t="s">
        <v>50</v>
      </c>
      <c r="C58" s="1"/>
      <c r="D58" s="1"/>
      <c r="E58" s="7">
        <v>1</v>
      </c>
      <c r="F58" s="7" t="str">
        <f t="shared" ca="1" si="1"/>
        <v/>
      </c>
    </row>
    <row r="59" spans="1:6" x14ac:dyDescent="0.25">
      <c r="A59">
        <v>11.3</v>
      </c>
      <c r="B59" t="s">
        <v>51</v>
      </c>
      <c r="C59" s="1"/>
      <c r="D59" s="1"/>
      <c r="E59" s="7">
        <v>1</v>
      </c>
      <c r="F59" s="7" t="str">
        <f t="shared" ca="1" si="1"/>
        <v/>
      </c>
    </row>
    <row r="60" spans="1:6" x14ac:dyDescent="0.25">
      <c r="A60">
        <v>11.4</v>
      </c>
      <c r="B60" t="s">
        <v>46</v>
      </c>
      <c r="C60" s="1"/>
      <c r="D60" s="1"/>
      <c r="E60" s="7">
        <v>1</v>
      </c>
      <c r="F60" s="7" t="str">
        <f t="shared" ca="1" si="1"/>
        <v/>
      </c>
    </row>
    <row r="61" spans="1:6" x14ac:dyDescent="0.25">
      <c r="A61">
        <v>11.5</v>
      </c>
      <c r="B61" t="s">
        <v>47</v>
      </c>
      <c r="C61" s="1"/>
      <c r="D61" s="1"/>
      <c r="E61" s="7">
        <v>1</v>
      </c>
      <c r="F61" s="7" t="str">
        <f t="shared" ca="1" si="1"/>
        <v/>
      </c>
    </row>
    <row r="62" spans="1:6" x14ac:dyDescent="0.25">
      <c r="A62">
        <v>11.6</v>
      </c>
      <c r="B62" t="s">
        <v>13</v>
      </c>
      <c r="C62" s="1"/>
      <c r="D62" s="1"/>
      <c r="E62" s="7">
        <v>1</v>
      </c>
      <c r="F62" s="7" t="str">
        <f t="shared" ca="1" si="1"/>
        <v/>
      </c>
    </row>
    <row r="63" spans="1:6" x14ac:dyDescent="0.25">
      <c r="A63" s="3">
        <v>12</v>
      </c>
      <c r="B63" s="3" t="s">
        <v>52</v>
      </c>
      <c r="C63" s="1"/>
      <c r="D63" s="1"/>
      <c r="E63" s="8">
        <f>SUM(E64:E67)/4</f>
        <v>1</v>
      </c>
      <c r="F63" s="8" t="str">
        <f t="shared" ca="1" si="1"/>
        <v/>
      </c>
    </row>
    <row r="64" spans="1:6" x14ac:dyDescent="0.25">
      <c r="A64">
        <v>12.1</v>
      </c>
      <c r="B64" t="s">
        <v>53</v>
      </c>
      <c r="C64" s="1"/>
      <c r="D64" s="1"/>
      <c r="E64" s="7">
        <v>1</v>
      </c>
      <c r="F64" s="7" t="str">
        <f t="shared" ca="1" si="1"/>
        <v/>
      </c>
    </row>
    <row r="65" spans="1:6" x14ac:dyDescent="0.25">
      <c r="A65">
        <v>12.2</v>
      </c>
      <c r="B65" t="s">
        <v>46</v>
      </c>
      <c r="C65" s="1"/>
      <c r="D65" s="1"/>
      <c r="E65" s="7">
        <v>1</v>
      </c>
      <c r="F65" s="7" t="str">
        <f t="shared" ca="1" si="1"/>
        <v/>
      </c>
    </row>
    <row r="66" spans="1:6" x14ac:dyDescent="0.25">
      <c r="A66">
        <v>12.3</v>
      </c>
      <c r="B66" t="s">
        <v>47</v>
      </c>
      <c r="C66" s="1"/>
      <c r="D66" s="1"/>
      <c r="E66" s="7">
        <v>1</v>
      </c>
      <c r="F66" s="7" t="str">
        <f t="shared" ca="1" si="1"/>
        <v/>
      </c>
    </row>
    <row r="67" spans="1:6" x14ac:dyDescent="0.25">
      <c r="A67">
        <v>12.4</v>
      </c>
      <c r="B67" t="s">
        <v>13</v>
      </c>
      <c r="C67" s="1"/>
      <c r="D67" s="1"/>
      <c r="E67" s="7">
        <v>1</v>
      </c>
      <c r="F67" s="7" t="str">
        <f t="shared" ref="F67:F85" ca="1" si="2">IF(E67&lt;100%,IF(AND(TRIM(D67)&gt;"",TRIM(C67) &gt;""),IF(AND(E67&lt;100,NOW()&gt;D67),"YES, BY "&amp; TRUNC(NOW()-D67,0) &amp; " DAYS.","NO" ),""),"")</f>
        <v/>
      </c>
    </row>
    <row r="68" spans="1:6" x14ac:dyDescent="0.25">
      <c r="A68" s="3">
        <v>13</v>
      </c>
      <c r="B68" s="3" t="s">
        <v>48</v>
      </c>
      <c r="C68" s="1"/>
      <c r="D68" s="1"/>
      <c r="E68" s="8">
        <f>SUM(E69:E74)/6</f>
        <v>1</v>
      </c>
      <c r="F68" s="8" t="str">
        <f t="shared" ca="1" si="2"/>
        <v/>
      </c>
    </row>
    <row r="69" spans="1:6" x14ac:dyDescent="0.25">
      <c r="A69">
        <v>13.1</v>
      </c>
      <c r="B69" t="s">
        <v>49</v>
      </c>
      <c r="C69" s="1"/>
      <c r="D69" s="1"/>
      <c r="E69" s="7">
        <v>1</v>
      </c>
      <c r="F69" s="7" t="str">
        <f t="shared" ca="1" si="2"/>
        <v/>
      </c>
    </row>
    <row r="70" spans="1:6" x14ac:dyDescent="0.25">
      <c r="A70">
        <v>13.2</v>
      </c>
      <c r="B70" t="s">
        <v>50</v>
      </c>
      <c r="C70" s="1"/>
      <c r="D70" s="1"/>
      <c r="E70" s="7">
        <v>1</v>
      </c>
      <c r="F70" s="7" t="str">
        <f t="shared" ca="1" si="2"/>
        <v/>
      </c>
    </row>
    <row r="71" spans="1:6" x14ac:dyDescent="0.25">
      <c r="A71">
        <v>13.3</v>
      </c>
      <c r="B71" t="s">
        <v>51</v>
      </c>
      <c r="C71" s="1"/>
      <c r="D71" s="1"/>
      <c r="E71" s="7">
        <v>1</v>
      </c>
      <c r="F71" s="7" t="str">
        <f t="shared" ca="1" si="2"/>
        <v/>
      </c>
    </row>
    <row r="72" spans="1:6" x14ac:dyDescent="0.25">
      <c r="A72">
        <v>13.4</v>
      </c>
      <c r="B72" t="s">
        <v>46</v>
      </c>
      <c r="C72" s="1"/>
      <c r="D72" s="1"/>
      <c r="E72" s="7">
        <v>1</v>
      </c>
      <c r="F72" s="7" t="str">
        <f t="shared" ca="1" si="2"/>
        <v/>
      </c>
    </row>
    <row r="73" spans="1:6" x14ac:dyDescent="0.25">
      <c r="A73">
        <v>13.5</v>
      </c>
      <c r="B73" t="s">
        <v>47</v>
      </c>
      <c r="C73" s="1"/>
      <c r="D73" s="1"/>
      <c r="E73" s="7">
        <v>1</v>
      </c>
      <c r="F73" s="7" t="str">
        <f t="shared" ca="1" si="2"/>
        <v/>
      </c>
    </row>
    <row r="74" spans="1:6" x14ac:dyDescent="0.25">
      <c r="A74">
        <v>13.6</v>
      </c>
      <c r="B74" t="s">
        <v>13</v>
      </c>
      <c r="C74" s="1"/>
      <c r="D74" s="1"/>
      <c r="E74" s="7">
        <v>1</v>
      </c>
      <c r="F74" s="7" t="str">
        <f t="shared" ca="1" si="2"/>
        <v/>
      </c>
    </row>
    <row r="75" spans="1:6" x14ac:dyDescent="0.25">
      <c r="A75" s="3">
        <v>14</v>
      </c>
      <c r="B75" s="3" t="s">
        <v>55</v>
      </c>
      <c r="C75" s="1"/>
      <c r="D75" s="1"/>
      <c r="E75" s="8">
        <v>1</v>
      </c>
      <c r="F75" s="8" t="str">
        <f t="shared" ca="1" si="2"/>
        <v/>
      </c>
    </row>
    <row r="76" spans="1:6" x14ac:dyDescent="0.25">
      <c r="A76" s="3">
        <v>15</v>
      </c>
      <c r="B76" s="3" t="s">
        <v>38</v>
      </c>
      <c r="C76" s="1"/>
      <c r="D76" s="1"/>
      <c r="E76" s="8">
        <f>SUM(E77:E79)/3</f>
        <v>1</v>
      </c>
      <c r="F76" s="8" t="str">
        <f t="shared" ca="1" si="2"/>
        <v/>
      </c>
    </row>
    <row r="77" spans="1:6" x14ac:dyDescent="0.25">
      <c r="A77">
        <v>15.1</v>
      </c>
      <c r="B77" t="s">
        <v>56</v>
      </c>
      <c r="C77" s="1"/>
      <c r="D77" s="1"/>
      <c r="E77" s="7">
        <v>1</v>
      </c>
      <c r="F77" s="7" t="str">
        <f t="shared" ca="1" si="2"/>
        <v/>
      </c>
    </row>
    <row r="78" spans="1:6" x14ac:dyDescent="0.25">
      <c r="A78">
        <v>15.2</v>
      </c>
      <c r="B78" t="s">
        <v>60</v>
      </c>
      <c r="C78" s="1"/>
      <c r="D78" s="1"/>
      <c r="E78" s="7">
        <v>1</v>
      </c>
      <c r="F78" s="7" t="str">
        <f t="shared" ca="1" si="2"/>
        <v/>
      </c>
    </row>
    <row r="79" spans="1:6" x14ac:dyDescent="0.25">
      <c r="A79">
        <v>15.3</v>
      </c>
      <c r="B79" t="s">
        <v>57</v>
      </c>
      <c r="C79" s="1"/>
      <c r="D79" s="1"/>
      <c r="E79" s="7">
        <v>1</v>
      </c>
      <c r="F79" s="7" t="str">
        <f t="shared" ca="1" si="2"/>
        <v/>
      </c>
    </row>
    <row r="80" spans="1:6" x14ac:dyDescent="0.25">
      <c r="A80" s="3">
        <v>16</v>
      </c>
      <c r="B80" s="3" t="s">
        <v>61</v>
      </c>
      <c r="C80" s="1"/>
      <c r="D80" s="1"/>
      <c r="E80" s="8">
        <f>SUM(E81:E84)/4</f>
        <v>1</v>
      </c>
      <c r="F80" s="8" t="str">
        <f t="shared" ca="1" si="2"/>
        <v/>
      </c>
    </row>
    <row r="81" spans="1:6" x14ac:dyDescent="0.25">
      <c r="A81">
        <v>16.100000000000001</v>
      </c>
      <c r="B81" t="s">
        <v>58</v>
      </c>
      <c r="C81" s="1"/>
      <c r="D81" s="1"/>
      <c r="E81" s="7">
        <v>1</v>
      </c>
      <c r="F81" s="7" t="str">
        <f t="shared" ca="1" si="2"/>
        <v/>
      </c>
    </row>
    <row r="82" spans="1:6" x14ac:dyDescent="0.25">
      <c r="A82">
        <v>16.2</v>
      </c>
      <c r="B82" t="s">
        <v>59</v>
      </c>
      <c r="C82" s="1"/>
      <c r="D82" s="1"/>
      <c r="E82" s="7">
        <v>1</v>
      </c>
      <c r="F82" s="7" t="str">
        <f t="shared" ca="1" si="2"/>
        <v/>
      </c>
    </row>
    <row r="83" spans="1:6" x14ac:dyDescent="0.25">
      <c r="A83">
        <v>16.3</v>
      </c>
      <c r="B83" t="s">
        <v>63</v>
      </c>
      <c r="C83" s="1"/>
      <c r="D83" s="1"/>
      <c r="E83" s="7">
        <v>1</v>
      </c>
      <c r="F83" s="7" t="str">
        <f t="shared" ca="1" si="2"/>
        <v/>
      </c>
    </row>
    <row r="84" spans="1:6" x14ac:dyDescent="0.25">
      <c r="A84">
        <v>16.399999999999999</v>
      </c>
      <c r="B84" t="s">
        <v>13</v>
      </c>
      <c r="C84" s="1"/>
      <c r="D84" s="1"/>
      <c r="E84" s="7">
        <v>1</v>
      </c>
      <c r="F84" s="7" t="str">
        <f t="shared" ca="1" si="2"/>
        <v/>
      </c>
    </row>
    <row r="85" spans="1:6" x14ac:dyDescent="0.25">
      <c r="A85" s="3">
        <v>17</v>
      </c>
      <c r="B85" s="3" t="s">
        <v>62</v>
      </c>
      <c r="C85" s="1"/>
      <c r="D85" s="1"/>
      <c r="E85" s="8">
        <f>SUM(E3:E84)/82</f>
        <v>0.93826219512195119</v>
      </c>
      <c r="F85" s="8" t="str">
        <f t="shared" ca="1" si="2"/>
        <v/>
      </c>
    </row>
  </sheetData>
  <mergeCells count="1">
    <mergeCell ref="A1:G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_number">
                <anchor moveWithCells="1">
                  <from>
                    <xdr:col>1</xdr:col>
                    <xdr:colOff>419100</xdr:colOff>
                    <xdr:row>1</xdr:row>
                    <xdr:rowOff>95250</xdr:rowOff>
                  </from>
                  <to>
                    <xdr:col>1</xdr:col>
                    <xdr:colOff>1162050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zoomScale="70" zoomScaleNormal="70" workbookViewId="0">
      <selection activeCell="C40" sqref="C40"/>
    </sheetView>
  </sheetViews>
  <sheetFormatPr defaultColWidth="9.140625" defaultRowHeight="15" x14ac:dyDescent="0.25"/>
  <cols>
    <col min="1" max="16384" width="9.140625" style="5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Task Planner</vt:lpstr>
      <vt:lpstr>Project Plan Hierarchy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</dc:creator>
  <cp:lastModifiedBy>Placke, Christopher J.</cp:lastModifiedBy>
  <dcterms:created xsi:type="dcterms:W3CDTF">2017-04-27T09:24:45Z</dcterms:created>
  <dcterms:modified xsi:type="dcterms:W3CDTF">2024-07-30T20:00:39Z</dcterms:modified>
</cp:coreProperties>
</file>